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br5070\Desktop\EAH stability paper\"/>
    </mc:Choice>
  </mc:AlternateContent>
  <xr:revisionPtr revIDLastSave="0" documentId="13_ncr:1_{B4B6F2B8-8EE0-4F7B-9548-2BAB46819F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bined_EAH_redone_DB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" i="2" l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" i="1"/>
  <c r="AS3" i="1"/>
  <c r="AS2" i="1"/>
</calcChain>
</file>

<file path=xl/sharedStrings.xml><?xml version="1.0" encoding="utf-8"?>
<sst xmlns="http://schemas.openxmlformats.org/spreadsheetml/2006/main" count="174" uniqueCount="170">
  <si>
    <t>id</t>
  </si>
  <si>
    <t>v1_date</t>
  </si>
  <si>
    <t>v7_date</t>
  </si>
  <si>
    <t>bmi_screenout</t>
  </si>
  <si>
    <t>parent_respondent</t>
  </si>
  <si>
    <t>measured_parent</t>
  </si>
  <si>
    <t>risk_status_mom</t>
  </si>
  <si>
    <t>sex</t>
  </si>
  <si>
    <t>age_yr</t>
  </si>
  <si>
    <t>v7_age_yr</t>
  </si>
  <si>
    <t>ethnicity</t>
  </si>
  <si>
    <t>race</t>
  </si>
  <si>
    <t>income</t>
  </si>
  <si>
    <t>parent_ed</t>
  </si>
  <si>
    <t>bmi</t>
  </si>
  <si>
    <t>v7_bmi</t>
  </si>
  <si>
    <t>bmi_percentile</t>
  </si>
  <si>
    <t>v7_bmi_percentile</t>
  </si>
  <si>
    <t>bmi_z</t>
  </si>
  <si>
    <t>v7_bmi_z</t>
  </si>
  <si>
    <t>v1_FMI</t>
  </si>
  <si>
    <t>v7_FMI</t>
  </si>
  <si>
    <t>pds_tanner_cat</t>
  </si>
  <si>
    <t>v7_p_pds_imputed</t>
  </si>
  <si>
    <t>v1_freddy_pre_eah</t>
  </si>
  <si>
    <t>v7_freddy_pre_eah</t>
  </si>
  <si>
    <t xml:space="preserve">    1.00</t>
  </si>
  <si>
    <t>2018-01-31</t>
  </si>
  <si>
    <t>2019-07-05</t>
  </si>
  <si>
    <t xml:space="preserve">    2.00</t>
  </si>
  <si>
    <t>2018-02-19</t>
  </si>
  <si>
    <t>2019-05-16</t>
  </si>
  <si>
    <t xml:space="preserve">    3.00</t>
  </si>
  <si>
    <t>2018-02-15</t>
  </si>
  <si>
    <t>2019-09-11</t>
  </si>
  <si>
    <t xml:space="preserve">    5.00</t>
  </si>
  <si>
    <t>2018-04-23</t>
  </si>
  <si>
    <t>2019-08-15</t>
  </si>
  <si>
    <t xml:space="preserve">    6.00</t>
  </si>
  <si>
    <t>2018-05-09</t>
  </si>
  <si>
    <t>2019-06-21</t>
  </si>
  <si>
    <t>2019-09-13</t>
  </si>
  <si>
    <t>2018-07-30</t>
  </si>
  <si>
    <t xml:space="preserve">   21.00</t>
  </si>
  <si>
    <t>2019-04-12</t>
  </si>
  <si>
    <t>2020-11-20</t>
  </si>
  <si>
    <t xml:space="preserve">   22.00</t>
  </si>
  <si>
    <t>2019-12-07</t>
  </si>
  <si>
    <t xml:space="preserve">   23.00</t>
  </si>
  <si>
    <t>2018-07-25</t>
  </si>
  <si>
    <t>2019-09-20</t>
  </si>
  <si>
    <t xml:space="preserve">   28.00</t>
  </si>
  <si>
    <t>2018-06-26</t>
  </si>
  <si>
    <t>2019-09-25</t>
  </si>
  <si>
    <t xml:space="preserve">   35.00</t>
  </si>
  <si>
    <t>2018-06-30</t>
  </si>
  <si>
    <t>2019-08-24</t>
  </si>
  <si>
    <t xml:space="preserve">   38.00</t>
  </si>
  <si>
    <t>2018-08-07</t>
  </si>
  <si>
    <t>2021-02-13</t>
  </si>
  <si>
    <t xml:space="preserve">   39.00</t>
  </si>
  <si>
    <t>2019-01-23</t>
  </si>
  <si>
    <t>2020-11-16</t>
  </si>
  <si>
    <t xml:space="preserve">   41.00</t>
  </si>
  <si>
    <t>2018-10-18</t>
  </si>
  <si>
    <t>2021-07-27</t>
  </si>
  <si>
    <t xml:space="preserve">   43.00</t>
  </si>
  <si>
    <t>2018-12-04</t>
  </si>
  <si>
    <t>2020-10-14</t>
  </si>
  <si>
    <t xml:space="preserve">   45.00</t>
  </si>
  <si>
    <t>2019-04-15</t>
  </si>
  <si>
    <t>2020-11-13</t>
  </si>
  <si>
    <t xml:space="preserve">   51.00</t>
  </si>
  <si>
    <t>2019-01-16</t>
  </si>
  <si>
    <t>2020-10-26</t>
  </si>
  <si>
    <t xml:space="preserve">   54.00</t>
  </si>
  <si>
    <t>2019-01-10</t>
  </si>
  <si>
    <t>2020-11-02</t>
  </si>
  <si>
    <t xml:space="preserve">   55.00</t>
  </si>
  <si>
    <t>2019-01-18</t>
  </si>
  <si>
    <t>2020-10-30</t>
  </si>
  <si>
    <t xml:space="preserve">   71.00</t>
  </si>
  <si>
    <t>2019-05-30</t>
  </si>
  <si>
    <t>2021-03-04</t>
  </si>
  <si>
    <t xml:space="preserve">   78.00</t>
  </si>
  <si>
    <t>2019-07-09</t>
  </si>
  <si>
    <t>2021-06-30</t>
  </si>
  <si>
    <t xml:space="preserve">   80.00</t>
  </si>
  <si>
    <t>2019-07-15</t>
  </si>
  <si>
    <t>2021-06-17</t>
  </si>
  <si>
    <t xml:space="preserve">   83.00</t>
  </si>
  <si>
    <t>2019-08-25</t>
  </si>
  <si>
    <t>2021-04-02</t>
  </si>
  <si>
    <t xml:space="preserve">   84.00</t>
  </si>
  <si>
    <t>2021-04-01</t>
  </si>
  <si>
    <t xml:space="preserve">   94.00</t>
  </si>
  <si>
    <t>2019-11-13</t>
  </si>
  <si>
    <t>2021-04-22</t>
  </si>
  <si>
    <t xml:space="preserve">   95.00</t>
  </si>
  <si>
    <t>2020-01-11</t>
  </si>
  <si>
    <t>2021-07-17</t>
  </si>
  <si>
    <t xml:space="preserve">   96.00</t>
  </si>
  <si>
    <t xml:space="preserve">  104.00</t>
  </si>
  <si>
    <t>2021-03-17</t>
  </si>
  <si>
    <t>2022-08-19</t>
  </si>
  <si>
    <t xml:space="preserve">  105.00</t>
  </si>
  <si>
    <t>2021-04-03</t>
  </si>
  <si>
    <t>2022-09-25</t>
  </si>
  <si>
    <t xml:space="preserve">  109.00</t>
  </si>
  <si>
    <t>2021-09-17</t>
  </si>
  <si>
    <t>2022-11-18</t>
  </si>
  <si>
    <t xml:space="preserve">  110.00</t>
  </si>
  <si>
    <t>2021-06-08</t>
  </si>
  <si>
    <t>2023-06-22</t>
  </si>
  <si>
    <t xml:space="preserve">  112.00</t>
  </si>
  <si>
    <t>2021-06-28</t>
  </si>
  <si>
    <t>2022-08-26</t>
  </si>
  <si>
    <t xml:space="preserve">  114.00</t>
  </si>
  <si>
    <t>2021-11-18</t>
  </si>
  <si>
    <t>2023-01-19</t>
  </si>
  <si>
    <t xml:space="preserve">  116.00</t>
  </si>
  <si>
    <t>2021-07-03</t>
  </si>
  <si>
    <t>2022-10-08</t>
  </si>
  <si>
    <t xml:space="preserve">  117.00</t>
  </si>
  <si>
    <t>2021-07-02</t>
  </si>
  <si>
    <t>2022-09-02</t>
  </si>
  <si>
    <t xml:space="preserve">  120.00</t>
  </si>
  <si>
    <t>2021-07-07</t>
  </si>
  <si>
    <t xml:space="preserve">  121.00</t>
  </si>
  <si>
    <t>2021-08-03</t>
  </si>
  <si>
    <t>2022-10-13</t>
  </si>
  <si>
    <t xml:space="preserve">  122.00</t>
  </si>
  <si>
    <t>2021-09-22</t>
  </si>
  <si>
    <t>2022-11-29</t>
  </si>
  <si>
    <t xml:space="preserve">  123.00</t>
  </si>
  <si>
    <t>2021-10-04</t>
  </si>
  <si>
    <t>2022-11-21</t>
  </si>
  <si>
    <t xml:space="preserve">  126.00</t>
  </si>
  <si>
    <t>2021-12-01</t>
  </si>
  <si>
    <t>2023-01-31</t>
  </si>
  <si>
    <t xml:space="preserve">  127.00</t>
  </si>
  <si>
    <t>2022-01-05</t>
  </si>
  <si>
    <t>2023-02-23</t>
  </si>
  <si>
    <t xml:space="preserve">  128.00</t>
  </si>
  <si>
    <t>2021-12-13</t>
  </si>
  <si>
    <t>2023-03-03</t>
  </si>
  <si>
    <t xml:space="preserve">  130.00</t>
  </si>
  <si>
    <t>2022-03-30</t>
  </si>
  <si>
    <t>2023-06-21</t>
  </si>
  <si>
    <t xml:space="preserve">  132.00</t>
  </si>
  <si>
    <t>2022-05-07</t>
  </si>
  <si>
    <t>v1_meal_g</t>
  </si>
  <si>
    <t>v1_meal_kcal</t>
  </si>
  <si>
    <t>v1_eah_g</t>
  </si>
  <si>
    <t>v1_eah_kcal</t>
  </si>
  <si>
    <t>v1_eah_sweet_g</t>
  </si>
  <si>
    <t>v1_eah_sweet_kcal</t>
  </si>
  <si>
    <t>v1_eah_sav_g</t>
  </si>
  <si>
    <t>v1_eah_sav_kcal</t>
  </si>
  <si>
    <t>v7_meal_g</t>
  </si>
  <si>
    <t>v7_meal_kcal</t>
  </si>
  <si>
    <t>v7_eah_g</t>
  </si>
  <si>
    <t>v7_eah_kcal</t>
  </si>
  <si>
    <t>v7_eah_sweet_g</t>
  </si>
  <si>
    <t>v7_eah_sweet_kcal</t>
  </si>
  <si>
    <t>v7_eah_sav_kcal</t>
  </si>
  <si>
    <t>v7_eah_sav_g</t>
  </si>
  <si>
    <t>v1_freddy_pre_meal</t>
  </si>
  <si>
    <t>v7_freddy_pre_meal</t>
  </si>
  <si>
    <t>age_diff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</si>
</sst>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"/>
  <sheetViews>
    <sheetView tabSelected="1" topLeftCell="Q1" workbookViewId="0">
      <selection activeCell="AB1" sqref="AB1:AB1048576"/>
    </sheetView>
  </sheetViews>
  <sheetFormatPr defaultColWidth="8.88671875" defaultRowHeight="14.4" x14ac:dyDescent="0.3"/>
  <cols>
    <col min="1" max="1" width="8.88671875" style="3"/>
    <col min="2" max="2" width="10.33203125" style="3" bestFit="1" customWidth="1"/>
    <col min="3" max="3" width="10.5546875" style="3" bestFit="1" customWidth="1"/>
    <col min="4" max="18" width="8.88671875" style="3"/>
    <col min="19" max="19" width="8.88671875" style="3" customWidth="1"/>
    <col min="20" max="16384" width="8.88671875" style="3"/>
  </cols>
  <sheetData>
    <row r="1" spans="1:5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167</v>
      </c>
      <c r="Z1" s="2" t="s">
        <v>24</v>
      </c>
      <c r="AA1" s="2" t="s">
        <v>168</v>
      </c>
      <c r="AB1" s="2" t="s">
        <v>25</v>
      </c>
      <c r="AC1" s="2" t="s">
        <v>151</v>
      </c>
      <c r="AD1" s="2" t="s">
        <v>152</v>
      </c>
      <c r="AE1" s="2" t="s">
        <v>153</v>
      </c>
      <c r="AF1" s="2" t="s">
        <v>154</v>
      </c>
      <c r="AG1" s="2" t="s">
        <v>155</v>
      </c>
      <c r="AH1" s="2" t="s">
        <v>156</v>
      </c>
      <c r="AI1" s="2" t="s">
        <v>157</v>
      </c>
      <c r="AJ1" s="2" t="s">
        <v>158</v>
      </c>
      <c r="AK1" s="2" t="s">
        <v>159</v>
      </c>
      <c r="AL1" s="2" t="s">
        <v>160</v>
      </c>
      <c r="AM1" s="2" t="s">
        <v>161</v>
      </c>
      <c r="AN1" s="2" t="s">
        <v>162</v>
      </c>
      <c r="AO1" s="2" t="s">
        <v>163</v>
      </c>
      <c r="AP1" s="2" t="s">
        <v>164</v>
      </c>
      <c r="AQ1" s="2" t="s">
        <v>165</v>
      </c>
      <c r="AR1" s="2" t="s">
        <v>166</v>
      </c>
      <c r="AS1" s="2" t="s">
        <v>169</v>
      </c>
    </row>
    <row r="2" spans="1:50" x14ac:dyDescent="0.3">
      <c r="A2" s="3" t="s">
        <v>26</v>
      </c>
      <c r="B2" s="3" t="s">
        <v>27</v>
      </c>
      <c r="C2" s="3" t="s">
        <v>28</v>
      </c>
      <c r="D2" s="1">
        <v>0</v>
      </c>
      <c r="E2" s="1">
        <v>0</v>
      </c>
      <c r="F2" s="1">
        <v>0</v>
      </c>
      <c r="G2" s="4">
        <v>1</v>
      </c>
      <c r="H2" s="4">
        <v>0</v>
      </c>
      <c r="I2" s="1">
        <v>8.84</v>
      </c>
      <c r="J2" s="1">
        <v>10.27</v>
      </c>
      <c r="K2" s="4">
        <v>0</v>
      </c>
      <c r="L2" s="4">
        <v>0</v>
      </c>
      <c r="M2" s="4">
        <v>3</v>
      </c>
      <c r="N2" s="4">
        <v>3</v>
      </c>
      <c r="O2" s="1">
        <v>16.13</v>
      </c>
      <c r="P2" s="1">
        <v>15.96</v>
      </c>
      <c r="Q2" s="1">
        <v>51.16</v>
      </c>
      <c r="R2" s="1">
        <v>33.28</v>
      </c>
      <c r="S2" s="1">
        <v>0.03</v>
      </c>
      <c r="T2" s="1">
        <v>-0.43</v>
      </c>
      <c r="U2" s="1">
        <v>4.38</v>
      </c>
      <c r="V2" s="1">
        <v>3.87</v>
      </c>
      <c r="W2" s="1">
        <v>1</v>
      </c>
      <c r="X2" s="1">
        <v>1</v>
      </c>
      <c r="Y2" s="1">
        <v>80</v>
      </c>
      <c r="Z2" s="1">
        <v>135</v>
      </c>
      <c r="AA2" s="1">
        <v>44</v>
      </c>
      <c r="AB2" s="1">
        <v>120</v>
      </c>
      <c r="AC2" s="1">
        <v>328.15000000000009</v>
      </c>
      <c r="AD2" s="1">
        <v>760.71928000000014</v>
      </c>
      <c r="AE2" s="1">
        <v>63.30000000000004</v>
      </c>
      <c r="AF2" s="1">
        <v>228.07589000000013</v>
      </c>
      <c r="AG2" s="1">
        <v>60.410000000000053</v>
      </c>
      <c r="AH2" s="1">
        <v>211.5826600000002</v>
      </c>
      <c r="AI2" s="1">
        <v>2.8899999999999864</v>
      </c>
      <c r="AJ2" s="1">
        <v>16.493229999999922</v>
      </c>
      <c r="AK2" s="1">
        <v>488.46000000000004</v>
      </c>
      <c r="AL2" s="1">
        <v>767.61684000000014</v>
      </c>
      <c r="AM2" s="1">
        <v>60.77000000000001</v>
      </c>
      <c r="AN2" s="1">
        <v>211.06397000000001</v>
      </c>
      <c r="AO2" s="1">
        <v>57.52000000000001</v>
      </c>
      <c r="AP2" s="1">
        <v>192.51622</v>
      </c>
      <c r="AQ2" s="1">
        <v>18.547750000000001</v>
      </c>
      <c r="AR2" s="1">
        <v>3.25</v>
      </c>
      <c r="AS2" s="1">
        <f>J2-I2</f>
        <v>1.4299999999999997</v>
      </c>
      <c r="AT2" s="1"/>
    </row>
    <row r="3" spans="1:50" x14ac:dyDescent="0.3">
      <c r="A3" s="3" t="s">
        <v>29</v>
      </c>
      <c r="B3" s="3" t="s">
        <v>30</v>
      </c>
      <c r="C3" s="3" t="s">
        <v>31</v>
      </c>
      <c r="D3" s="1">
        <v>0</v>
      </c>
      <c r="E3" s="1">
        <v>0</v>
      </c>
      <c r="F3" s="1">
        <v>0</v>
      </c>
      <c r="G3" s="4">
        <v>0</v>
      </c>
      <c r="H3" s="4">
        <v>0</v>
      </c>
      <c r="I3" s="1">
        <v>8.14</v>
      </c>
      <c r="J3" s="1">
        <v>9.3800000000000008</v>
      </c>
      <c r="K3" s="4">
        <v>0</v>
      </c>
      <c r="L3" s="4">
        <v>0</v>
      </c>
      <c r="M3" s="4">
        <v>5</v>
      </c>
      <c r="N3" s="4">
        <v>3</v>
      </c>
      <c r="O3" s="1">
        <v>16.079999999999998</v>
      </c>
      <c r="P3" s="1">
        <v>16.05</v>
      </c>
      <c r="Q3" s="1">
        <v>56.29</v>
      </c>
      <c r="R3" s="1">
        <v>44.15</v>
      </c>
      <c r="S3" s="1">
        <v>0.16</v>
      </c>
      <c r="T3" s="1">
        <v>-0.15</v>
      </c>
      <c r="U3" s="1">
        <v>4.32</v>
      </c>
      <c r="V3" s="1">
        <v>4.34</v>
      </c>
      <c r="W3" s="1">
        <v>1</v>
      </c>
      <c r="X3" s="1">
        <v>1</v>
      </c>
      <c r="Y3" s="1">
        <v>19</v>
      </c>
      <c r="Z3" s="1">
        <v>103</v>
      </c>
      <c r="AA3" s="1">
        <v>1</v>
      </c>
      <c r="AB3" s="1">
        <v>114</v>
      </c>
      <c r="AC3" s="1">
        <v>113.41999999999999</v>
      </c>
      <c r="AD3" s="1">
        <v>55.81333999999999</v>
      </c>
      <c r="AE3" s="1">
        <v>348.28999999999996</v>
      </c>
      <c r="AF3" s="1">
        <v>839.33987999999988</v>
      </c>
      <c r="AG3" s="1">
        <v>94.899999999999977</v>
      </c>
      <c r="AH3" s="1">
        <v>384.36665999999991</v>
      </c>
      <c r="AI3" s="1">
        <v>81.02</v>
      </c>
      <c r="AJ3" s="1">
        <v>454.97321999999997</v>
      </c>
      <c r="AK3" s="1">
        <v>404.53000000000014</v>
      </c>
      <c r="AL3" s="1">
        <v>723.46376000000021</v>
      </c>
      <c r="AM3" s="1">
        <v>212.80999999999997</v>
      </c>
      <c r="AN3" s="1">
        <v>242.38240999999979</v>
      </c>
      <c r="AO3" s="1">
        <v>75.009999999999991</v>
      </c>
      <c r="AP3" s="1">
        <v>241.18393999999992</v>
      </c>
      <c r="AQ3" s="1">
        <v>1.1984699999998831</v>
      </c>
      <c r="AR3" s="1">
        <v>0.20999999999997954</v>
      </c>
      <c r="AS3" s="1">
        <f>J3-I3</f>
        <v>1.2400000000000002</v>
      </c>
      <c r="AT3" s="1"/>
    </row>
    <row r="4" spans="1:50" x14ac:dyDescent="0.3">
      <c r="A4" s="3" t="s">
        <v>32</v>
      </c>
      <c r="B4" s="3" t="s">
        <v>33</v>
      </c>
      <c r="C4" s="3" t="s">
        <v>34</v>
      </c>
      <c r="D4" s="1">
        <v>0</v>
      </c>
      <c r="E4" s="1">
        <v>0</v>
      </c>
      <c r="F4" s="1">
        <v>0</v>
      </c>
      <c r="G4" s="4">
        <v>0</v>
      </c>
      <c r="H4" s="4">
        <v>1</v>
      </c>
      <c r="I4" s="1">
        <v>8.33</v>
      </c>
      <c r="J4" s="1">
        <v>9.9</v>
      </c>
      <c r="K4" s="4">
        <v>0</v>
      </c>
      <c r="L4" s="4">
        <v>0</v>
      </c>
      <c r="M4" s="4">
        <v>5</v>
      </c>
      <c r="N4" s="4">
        <v>4</v>
      </c>
      <c r="O4" s="1">
        <v>14.52</v>
      </c>
      <c r="P4" s="1">
        <v>15.26</v>
      </c>
      <c r="Q4" s="1">
        <v>18.829999999999998</v>
      </c>
      <c r="R4" s="1">
        <v>21.87</v>
      </c>
      <c r="S4" s="1">
        <v>-0.88</v>
      </c>
      <c r="T4" s="1">
        <v>-0.78</v>
      </c>
      <c r="U4" s="1">
        <v>3.96</v>
      </c>
      <c r="V4" s="1">
        <v>3.76</v>
      </c>
      <c r="W4" s="1">
        <v>1</v>
      </c>
      <c r="X4" s="1">
        <v>1</v>
      </c>
      <c r="Y4" s="1">
        <v>37</v>
      </c>
      <c r="Z4" s="1">
        <v>86</v>
      </c>
      <c r="AA4" s="1">
        <v>19</v>
      </c>
      <c r="AB4" s="1">
        <v>120</v>
      </c>
      <c r="AC4" s="1">
        <v>200.39000000000007</v>
      </c>
      <c r="AD4" s="1">
        <v>412.7730200000002</v>
      </c>
      <c r="AE4" s="1">
        <v>93.839999999999975</v>
      </c>
      <c r="AF4" s="1">
        <v>261.07189999999991</v>
      </c>
      <c r="AG4" s="1">
        <v>65.109999999999957</v>
      </c>
      <c r="AH4" s="1">
        <v>223.50079999999986</v>
      </c>
      <c r="AI4" s="1">
        <v>6.9800000000000182</v>
      </c>
      <c r="AJ4" s="1">
        <v>37.571100000000079</v>
      </c>
      <c r="AK4" s="1">
        <v>449.40000000000003</v>
      </c>
      <c r="AL4" s="1">
        <v>691.07900999999993</v>
      </c>
      <c r="AM4" s="1">
        <v>243.8</v>
      </c>
      <c r="AN4" s="1">
        <v>389.44955999999996</v>
      </c>
      <c r="AO4" s="1">
        <v>99.5</v>
      </c>
      <c r="AP4" s="1">
        <v>384.80261999999999</v>
      </c>
      <c r="AQ4" s="1">
        <v>4.6469399999999608</v>
      </c>
      <c r="AR4" s="1">
        <v>0.81999999999999318</v>
      </c>
      <c r="AS4" s="1">
        <f>J4-I4</f>
        <v>1.5700000000000003</v>
      </c>
      <c r="AT4" s="1"/>
    </row>
    <row r="5" spans="1:50" x14ac:dyDescent="0.3">
      <c r="A5" s="3" t="s">
        <v>35</v>
      </c>
      <c r="B5" s="3" t="s">
        <v>36</v>
      </c>
      <c r="C5" s="3" t="s">
        <v>37</v>
      </c>
      <c r="D5" s="1">
        <v>0</v>
      </c>
      <c r="E5" s="1">
        <v>0</v>
      </c>
      <c r="F5" s="1">
        <v>0</v>
      </c>
      <c r="G5" s="4">
        <v>0</v>
      </c>
      <c r="H5" s="4">
        <v>1</v>
      </c>
      <c r="I5" s="1">
        <v>8.32</v>
      </c>
      <c r="J5" s="1">
        <v>9.6300000000000008</v>
      </c>
      <c r="K5" s="4">
        <v>0</v>
      </c>
      <c r="L5" s="4">
        <v>0</v>
      </c>
      <c r="M5" s="4">
        <v>4</v>
      </c>
      <c r="N5" s="4">
        <v>3</v>
      </c>
      <c r="O5" s="1">
        <v>15.5</v>
      </c>
      <c r="P5" s="1">
        <v>15.68</v>
      </c>
      <c r="Q5" s="1">
        <v>40.25</v>
      </c>
      <c r="R5" s="1">
        <v>31.99</v>
      </c>
      <c r="S5" s="1">
        <v>-0.25</v>
      </c>
      <c r="T5" s="1">
        <v>-0.47</v>
      </c>
      <c r="U5" s="1">
        <v>3.64</v>
      </c>
      <c r="V5" s="1">
        <v>3.73</v>
      </c>
      <c r="W5" s="1">
        <v>1</v>
      </c>
      <c r="X5" s="1">
        <v>2</v>
      </c>
      <c r="Y5" s="1">
        <v>20</v>
      </c>
      <c r="Z5" s="1">
        <v>79</v>
      </c>
      <c r="AA5" s="1">
        <v>53</v>
      </c>
      <c r="AB5" s="1">
        <v>79</v>
      </c>
      <c r="AC5" s="1">
        <v>419.08999999999986</v>
      </c>
      <c r="AD5" s="1">
        <v>666.28234999999984</v>
      </c>
      <c r="AE5" s="1">
        <v>71.47</v>
      </c>
      <c r="AF5" s="1">
        <v>176.64842999999999</v>
      </c>
      <c r="AG5" s="1">
        <v>59.06</v>
      </c>
      <c r="AH5" s="1">
        <v>163.33098000000001</v>
      </c>
      <c r="AI5" s="1">
        <v>2.3499999999999943</v>
      </c>
      <c r="AJ5" s="1">
        <v>13.317449999999967</v>
      </c>
      <c r="AK5" s="1">
        <v>434.47999999999996</v>
      </c>
      <c r="AL5" s="1">
        <v>459.85002999999995</v>
      </c>
      <c r="AM5" s="1">
        <v>110.92000000000002</v>
      </c>
      <c r="AN5" s="1">
        <v>147.7482500000001</v>
      </c>
      <c r="AO5" s="1">
        <v>55.59</v>
      </c>
      <c r="AP5" s="1">
        <v>141.63839000000004</v>
      </c>
      <c r="AQ5" s="1">
        <v>6.1098600000000491</v>
      </c>
      <c r="AR5" s="1">
        <v>1.1800000000000068</v>
      </c>
      <c r="AS5" s="1">
        <f t="shared" ref="AS5:AS40" si="0">J5-I5</f>
        <v>1.3100000000000005</v>
      </c>
      <c r="AT5" s="1"/>
    </row>
    <row r="6" spans="1:50" x14ac:dyDescent="0.3">
      <c r="A6" s="3" t="s">
        <v>38</v>
      </c>
      <c r="B6" s="3" t="s">
        <v>39</v>
      </c>
      <c r="C6" s="3" t="s">
        <v>40</v>
      </c>
      <c r="D6" s="1">
        <v>0</v>
      </c>
      <c r="E6" s="1">
        <v>0</v>
      </c>
      <c r="F6" s="1">
        <v>0</v>
      </c>
      <c r="G6" s="4">
        <v>1</v>
      </c>
      <c r="H6" s="4">
        <v>1</v>
      </c>
      <c r="I6" s="1">
        <v>8.51</v>
      </c>
      <c r="J6" s="1">
        <v>9.6199999999999992</v>
      </c>
      <c r="K6" s="4">
        <v>0</v>
      </c>
      <c r="L6" s="4">
        <v>0</v>
      </c>
      <c r="M6" s="4">
        <v>3</v>
      </c>
      <c r="N6" s="4">
        <v>3</v>
      </c>
      <c r="O6" s="1">
        <v>17.21</v>
      </c>
      <c r="P6" s="1">
        <v>17.010000000000002</v>
      </c>
      <c r="Q6" s="1">
        <v>70.14</v>
      </c>
      <c r="R6" s="1">
        <v>56.74</v>
      </c>
      <c r="S6" s="1">
        <v>0.53</v>
      </c>
      <c r="T6" s="1">
        <v>0.17</v>
      </c>
      <c r="U6" s="1">
        <v>5.68</v>
      </c>
      <c r="V6" s="1">
        <v>5.48</v>
      </c>
      <c r="W6" s="1">
        <v>2</v>
      </c>
      <c r="X6" s="1">
        <v>3</v>
      </c>
      <c r="Y6" s="1">
        <v>11</v>
      </c>
      <c r="Z6" s="1">
        <v>109</v>
      </c>
      <c r="AA6" s="1">
        <v>61</v>
      </c>
      <c r="AB6" s="1">
        <v>131</v>
      </c>
      <c r="AC6" s="1">
        <v>57.82000000000005</v>
      </c>
      <c r="AD6" s="1">
        <v>287.28023000000002</v>
      </c>
      <c r="AE6" s="1">
        <v>60.500000000000057</v>
      </c>
      <c r="AF6" s="1">
        <v>249.08392000000006</v>
      </c>
      <c r="AG6" s="1">
        <v>58.66</v>
      </c>
      <c r="AH6" s="1">
        <v>239.73963999999998</v>
      </c>
      <c r="AI6" s="1">
        <v>1.6400000000000148</v>
      </c>
      <c r="AJ6" s="1">
        <v>9.344280000000083</v>
      </c>
      <c r="AK6" s="1">
        <v>14.03000000000003</v>
      </c>
      <c r="AL6" s="1">
        <v>66.727360000000104</v>
      </c>
      <c r="AM6" s="1">
        <v>64.400000000000006</v>
      </c>
      <c r="AN6" s="1">
        <v>294.03093000000001</v>
      </c>
      <c r="AO6" s="1">
        <v>57.72</v>
      </c>
      <c r="AP6" s="1">
        <v>257.94585000000001</v>
      </c>
      <c r="AQ6" s="1">
        <v>36.085080000000019</v>
      </c>
      <c r="AR6" s="1">
        <v>6.6800000000000068</v>
      </c>
      <c r="AS6" s="1">
        <f t="shared" si="0"/>
        <v>1.1099999999999994</v>
      </c>
      <c r="AT6" s="1"/>
    </row>
    <row r="7" spans="1:50" x14ac:dyDescent="0.3">
      <c r="A7" s="3" t="s">
        <v>43</v>
      </c>
      <c r="B7" s="3" t="s">
        <v>44</v>
      </c>
      <c r="C7" s="3" t="s">
        <v>45</v>
      </c>
      <c r="D7" s="1">
        <v>0</v>
      </c>
      <c r="E7" s="1">
        <v>0</v>
      </c>
      <c r="F7" s="1">
        <v>0</v>
      </c>
      <c r="G7" s="3">
        <v>1</v>
      </c>
      <c r="H7" s="3">
        <v>1</v>
      </c>
      <c r="I7" s="1">
        <v>7.86</v>
      </c>
      <c r="J7" s="1">
        <v>9.4700000000000006</v>
      </c>
      <c r="K7" s="4">
        <v>0</v>
      </c>
      <c r="L7" s="4">
        <v>0</v>
      </c>
      <c r="M7" s="4">
        <v>2</v>
      </c>
      <c r="N7" s="4">
        <v>0</v>
      </c>
      <c r="O7" s="1">
        <v>17.66</v>
      </c>
      <c r="P7" s="1">
        <v>21.49</v>
      </c>
      <c r="Q7" s="1">
        <v>80.47</v>
      </c>
      <c r="R7" s="1">
        <v>93.29</v>
      </c>
      <c r="S7" s="1">
        <v>0.86</v>
      </c>
      <c r="T7" s="1">
        <v>1.5</v>
      </c>
      <c r="U7" s="1">
        <v>5.54</v>
      </c>
      <c r="V7" s="1">
        <v>8.57</v>
      </c>
      <c r="W7" s="1">
        <v>1</v>
      </c>
      <c r="X7" s="1">
        <v>1</v>
      </c>
      <c r="Y7" s="1">
        <v>8</v>
      </c>
      <c r="Z7" s="1">
        <v>104</v>
      </c>
      <c r="AA7" s="1">
        <v>7</v>
      </c>
      <c r="AB7" s="1">
        <v>137</v>
      </c>
      <c r="AC7" s="1">
        <v>242.23999999999987</v>
      </c>
      <c r="AD7" s="1">
        <v>323.38663999999966</v>
      </c>
      <c r="AE7" s="1">
        <v>107.50000000000003</v>
      </c>
      <c r="AF7" s="1">
        <v>472.10759000000019</v>
      </c>
      <c r="AG7" s="1">
        <v>107.36000000000004</v>
      </c>
      <c r="AH7" s="1">
        <v>472.10759000000019</v>
      </c>
      <c r="AI7" s="1">
        <v>0</v>
      </c>
      <c r="AJ7" s="1">
        <v>0</v>
      </c>
      <c r="AK7" s="1">
        <v>279.62999999999994</v>
      </c>
      <c r="AL7" s="1">
        <v>571.91532999999993</v>
      </c>
      <c r="AM7" s="1">
        <v>161.42000000000007</v>
      </c>
      <c r="AN7" s="1">
        <v>282.81699000000026</v>
      </c>
      <c r="AO7" s="1">
        <v>78.200000000000045</v>
      </c>
      <c r="AP7" s="1">
        <v>234.64726000000016</v>
      </c>
      <c r="AQ7" s="1">
        <v>48.169730000000058</v>
      </c>
      <c r="AR7" s="1">
        <v>8.9500000000000171</v>
      </c>
      <c r="AS7" s="1">
        <f t="shared" si="0"/>
        <v>1.6100000000000003</v>
      </c>
      <c r="AT7" s="1"/>
      <c r="AU7"/>
      <c r="AV7"/>
    </row>
    <row r="8" spans="1:50" x14ac:dyDescent="0.3">
      <c r="A8" s="3" t="s">
        <v>46</v>
      </c>
      <c r="B8" s="3" t="s">
        <v>42</v>
      </c>
      <c r="C8" s="3" t="s">
        <v>47</v>
      </c>
      <c r="D8" s="1">
        <v>0</v>
      </c>
      <c r="E8" s="1">
        <v>0</v>
      </c>
      <c r="F8" s="1">
        <v>0</v>
      </c>
      <c r="G8" s="3">
        <v>0</v>
      </c>
      <c r="H8" s="3">
        <v>1</v>
      </c>
      <c r="I8" s="1">
        <v>8.92</v>
      </c>
      <c r="J8" s="1">
        <v>10.27</v>
      </c>
      <c r="K8" s="4">
        <v>0</v>
      </c>
      <c r="L8" s="4">
        <v>0</v>
      </c>
      <c r="M8" s="4">
        <v>5</v>
      </c>
      <c r="N8" s="4">
        <v>5</v>
      </c>
      <c r="O8" s="1">
        <v>18.12</v>
      </c>
      <c r="P8" s="1">
        <v>19.96</v>
      </c>
      <c r="Q8" s="1">
        <v>77.650000000000006</v>
      </c>
      <c r="R8" s="1">
        <v>83.67</v>
      </c>
      <c r="S8" s="1">
        <v>0.76</v>
      </c>
      <c r="T8" s="1">
        <v>0.98</v>
      </c>
      <c r="U8" s="1">
        <v>6</v>
      </c>
      <c r="V8" s="1">
        <v>7.77</v>
      </c>
      <c r="W8" s="1">
        <v>1</v>
      </c>
      <c r="X8" s="1">
        <v>2</v>
      </c>
      <c r="Y8" s="1">
        <v>27</v>
      </c>
      <c r="Z8" s="1">
        <v>143</v>
      </c>
      <c r="AA8" s="1">
        <v>21</v>
      </c>
      <c r="AB8" s="1">
        <v>129</v>
      </c>
      <c r="AC8" s="1">
        <v>254.12</v>
      </c>
      <c r="AD8" s="1">
        <v>443.37558000000013</v>
      </c>
      <c r="AE8" s="1">
        <v>265.35000000000002</v>
      </c>
      <c r="AF8" s="1">
        <v>642.05487000000005</v>
      </c>
      <c r="AG8" s="1">
        <v>135.15000000000003</v>
      </c>
      <c r="AH8" s="1">
        <v>564.92261000000019</v>
      </c>
      <c r="AI8" s="1">
        <v>14.299999999999983</v>
      </c>
      <c r="AJ8" s="1">
        <v>77.132259999999917</v>
      </c>
      <c r="AK8" s="1">
        <v>554.04999999999984</v>
      </c>
      <c r="AL8" s="1">
        <v>667.59222999999974</v>
      </c>
      <c r="AM8" s="1">
        <v>102.55000000000001</v>
      </c>
      <c r="AN8" s="1">
        <v>397.08455000000009</v>
      </c>
      <c r="AO8" s="1">
        <v>86.260000000000019</v>
      </c>
      <c r="AP8" s="1">
        <v>304.11752000000013</v>
      </c>
      <c r="AQ8" s="1">
        <v>92.967029999999951</v>
      </c>
      <c r="AR8" s="1">
        <v>16.289999999999992</v>
      </c>
      <c r="AS8" s="1">
        <f t="shared" si="0"/>
        <v>1.3499999999999996</v>
      </c>
      <c r="AU8"/>
      <c r="AV8"/>
      <c r="AW8"/>
      <c r="AX8"/>
    </row>
    <row r="9" spans="1:50" x14ac:dyDescent="0.3">
      <c r="A9" s="3" t="s">
        <v>48</v>
      </c>
      <c r="B9" s="3" t="s">
        <v>49</v>
      </c>
      <c r="C9" s="3" t="s">
        <v>50</v>
      </c>
      <c r="D9" s="1">
        <v>0</v>
      </c>
      <c r="E9" s="1">
        <v>0</v>
      </c>
      <c r="F9" s="1">
        <v>0</v>
      </c>
      <c r="G9" s="3">
        <v>0</v>
      </c>
      <c r="H9" s="3">
        <v>1</v>
      </c>
      <c r="I9" s="1">
        <v>8.26</v>
      </c>
      <c r="J9" s="1">
        <v>9.42</v>
      </c>
      <c r="K9" s="4">
        <v>0</v>
      </c>
      <c r="L9" s="4">
        <v>0</v>
      </c>
      <c r="M9" s="4">
        <v>3</v>
      </c>
      <c r="N9" s="4">
        <v>4</v>
      </c>
      <c r="O9" s="1">
        <v>14.15</v>
      </c>
      <c r="P9" s="1">
        <v>14.92</v>
      </c>
      <c r="Q9" s="1">
        <v>12.47</v>
      </c>
      <c r="R9" s="1">
        <v>19.37</v>
      </c>
      <c r="S9" s="1">
        <v>-1.1499999999999999</v>
      </c>
      <c r="T9" s="1">
        <v>-0.86</v>
      </c>
      <c r="U9" s="1">
        <v>3.4</v>
      </c>
      <c r="V9" s="1">
        <v>3.89</v>
      </c>
      <c r="W9" s="1">
        <v>1</v>
      </c>
      <c r="X9" s="1">
        <v>1</v>
      </c>
      <c r="Y9" s="1">
        <v>44</v>
      </c>
      <c r="Z9" s="1">
        <v>122</v>
      </c>
      <c r="AA9" s="1">
        <v>16</v>
      </c>
      <c r="AB9" s="1">
        <v>131</v>
      </c>
      <c r="AC9" s="1">
        <v>265.07999999999987</v>
      </c>
      <c r="AD9" s="1">
        <v>677.50424999999973</v>
      </c>
      <c r="AE9" s="1">
        <v>124.57000000000002</v>
      </c>
      <c r="AF9" s="1">
        <v>380.97859999999997</v>
      </c>
      <c r="AG9" s="1">
        <v>79.650000000000006</v>
      </c>
      <c r="AH9" s="1">
        <v>331.56235999999996</v>
      </c>
      <c r="AI9" s="1">
        <v>8.7199999999999989</v>
      </c>
      <c r="AJ9" s="1">
        <v>49.416239999999995</v>
      </c>
      <c r="AK9" s="1">
        <v>250.03</v>
      </c>
      <c r="AL9" s="1">
        <v>706.27374000000009</v>
      </c>
      <c r="AM9" s="1">
        <v>226.57000000000008</v>
      </c>
      <c r="AN9" s="1">
        <v>403.7859200000002</v>
      </c>
      <c r="AO9" s="1">
        <v>103.12000000000006</v>
      </c>
      <c r="AP9" s="1">
        <v>397.38221000000021</v>
      </c>
      <c r="AQ9" s="1">
        <v>6.4037099999999736</v>
      </c>
      <c r="AR9" s="1">
        <v>1.1299999999999955</v>
      </c>
      <c r="AS9" s="1">
        <f t="shared" si="0"/>
        <v>1.1600000000000001</v>
      </c>
      <c r="AU9"/>
      <c r="AV9"/>
      <c r="AW9"/>
      <c r="AX9"/>
    </row>
    <row r="10" spans="1:50" x14ac:dyDescent="0.3">
      <c r="A10" s="3" t="s">
        <v>51</v>
      </c>
      <c r="B10" s="3" t="s">
        <v>52</v>
      </c>
      <c r="C10" s="3" t="s">
        <v>53</v>
      </c>
      <c r="D10" s="1">
        <v>0</v>
      </c>
      <c r="E10" s="1">
        <v>0</v>
      </c>
      <c r="F10" s="1">
        <v>0</v>
      </c>
      <c r="G10" s="4">
        <v>1</v>
      </c>
      <c r="H10" s="4">
        <v>1</v>
      </c>
      <c r="I10" s="1">
        <v>8.4700000000000006</v>
      </c>
      <c r="J10" s="1">
        <v>9.7200000000000006</v>
      </c>
      <c r="K10" s="4">
        <v>0</v>
      </c>
      <c r="L10" s="4">
        <v>0</v>
      </c>
      <c r="M10" s="4">
        <v>5</v>
      </c>
      <c r="N10" s="4">
        <v>3</v>
      </c>
      <c r="O10" s="1">
        <v>14.86</v>
      </c>
      <c r="P10" s="1">
        <v>15.12</v>
      </c>
      <c r="Q10" s="1">
        <v>24.89</v>
      </c>
      <c r="R10" s="1">
        <v>20.77</v>
      </c>
      <c r="S10" s="1">
        <v>-0.68</v>
      </c>
      <c r="T10" s="1">
        <v>-0.81</v>
      </c>
      <c r="U10" s="1">
        <v>3.73</v>
      </c>
      <c r="V10" s="1">
        <v>4</v>
      </c>
      <c r="W10" s="1">
        <v>1</v>
      </c>
      <c r="X10" s="1">
        <v>3</v>
      </c>
      <c r="Y10" s="1">
        <v>13</v>
      </c>
      <c r="Z10" s="1">
        <v>112</v>
      </c>
      <c r="AA10" s="1">
        <v>134</v>
      </c>
      <c r="AB10" s="1">
        <v>105</v>
      </c>
      <c r="AC10" s="1">
        <v>334.26</v>
      </c>
      <c r="AD10" s="1">
        <v>797.2770300000002</v>
      </c>
      <c r="AE10" s="1">
        <v>62.81</v>
      </c>
      <c r="AF10" s="1">
        <v>162.49249000000009</v>
      </c>
      <c r="AG10" s="1">
        <v>58.680000000000007</v>
      </c>
      <c r="AH10" s="1">
        <v>145.13063</v>
      </c>
      <c r="AI10" s="1">
        <v>3.9800000000000182</v>
      </c>
      <c r="AJ10" s="1">
        <v>17.361860000000103</v>
      </c>
      <c r="AK10" s="1">
        <v>231.44999999999996</v>
      </c>
      <c r="AL10" s="1">
        <v>690.89442999999983</v>
      </c>
      <c r="AM10" s="1">
        <v>72.550000000000011</v>
      </c>
      <c r="AN10" s="1">
        <v>208.51477000000017</v>
      </c>
      <c r="AO10" s="1">
        <v>65.130000000000024</v>
      </c>
      <c r="AP10" s="1">
        <v>173.33236000000016</v>
      </c>
      <c r="AQ10" s="1">
        <v>35.182410000000026</v>
      </c>
      <c r="AR10" s="1">
        <v>7.1500000000000057</v>
      </c>
      <c r="AS10" s="1">
        <f t="shared" si="0"/>
        <v>1.25</v>
      </c>
      <c r="AT10" s="1"/>
    </row>
    <row r="11" spans="1:50" ht="13.8" customHeight="1" x14ac:dyDescent="0.3">
      <c r="A11" s="3" t="s">
        <v>54</v>
      </c>
      <c r="B11" s="3" t="s">
        <v>55</v>
      </c>
      <c r="C11" s="3" t="s">
        <v>56</v>
      </c>
      <c r="D11" s="1">
        <v>0</v>
      </c>
      <c r="E11" s="1">
        <v>0</v>
      </c>
      <c r="F11" s="1">
        <v>0</v>
      </c>
      <c r="G11" s="4">
        <v>1</v>
      </c>
      <c r="H11" s="4">
        <v>1</v>
      </c>
      <c r="I11" s="1">
        <v>7.33</v>
      </c>
      <c r="J11" s="1">
        <v>8.48</v>
      </c>
      <c r="K11" s="4">
        <v>0</v>
      </c>
      <c r="L11" s="4">
        <v>0</v>
      </c>
      <c r="M11" s="4">
        <v>3</v>
      </c>
      <c r="N11" s="4">
        <v>4</v>
      </c>
      <c r="O11" s="1">
        <v>16.579999999999998</v>
      </c>
      <c r="P11" s="1">
        <v>17.16</v>
      </c>
      <c r="Q11" s="1">
        <v>70.569999999999993</v>
      </c>
      <c r="R11" s="1">
        <v>69.7</v>
      </c>
      <c r="S11" s="1">
        <v>0.54</v>
      </c>
      <c r="T11" s="1">
        <v>0.52</v>
      </c>
      <c r="U11" s="1">
        <v>4.5</v>
      </c>
      <c r="V11" s="1">
        <v>4.54</v>
      </c>
      <c r="W11" s="1">
        <v>1</v>
      </c>
      <c r="X11" s="1">
        <v>1</v>
      </c>
      <c r="Y11" s="1">
        <v>99</v>
      </c>
      <c r="Z11" s="1">
        <v>100</v>
      </c>
      <c r="AA11" s="1">
        <v>39</v>
      </c>
      <c r="AB11" s="1">
        <v>95</v>
      </c>
      <c r="AC11" s="1">
        <v>151.18000000000004</v>
      </c>
      <c r="AD11" s="1">
        <v>344.56008000000003</v>
      </c>
      <c r="AE11" s="1">
        <v>151.6</v>
      </c>
      <c r="AF11" s="1">
        <v>195.82762999999994</v>
      </c>
      <c r="AG11" s="1">
        <v>47.029999999999973</v>
      </c>
      <c r="AH11" s="1">
        <v>195.82762999999994</v>
      </c>
      <c r="AI11" s="1">
        <v>0</v>
      </c>
      <c r="AJ11" s="1">
        <v>0</v>
      </c>
      <c r="AK11" s="1">
        <v>274.38000000000005</v>
      </c>
      <c r="AL11" s="1">
        <v>455.06924000000009</v>
      </c>
      <c r="AM11" s="1">
        <v>109.35999999999996</v>
      </c>
      <c r="AN11" s="1">
        <v>216.20902999999993</v>
      </c>
      <c r="AO11" s="1">
        <v>50.269999999999982</v>
      </c>
      <c r="AP11" s="1">
        <v>216.20902999999993</v>
      </c>
      <c r="AQ11" s="1">
        <v>0</v>
      </c>
      <c r="AR11" s="1">
        <v>0</v>
      </c>
      <c r="AS11" s="1">
        <f t="shared" si="0"/>
        <v>1.1500000000000004</v>
      </c>
      <c r="AT11" s="1"/>
    </row>
    <row r="12" spans="1:50" x14ac:dyDescent="0.3">
      <c r="A12" s="3" t="s">
        <v>57</v>
      </c>
      <c r="B12" s="3" t="s">
        <v>58</v>
      </c>
      <c r="C12" s="3" t="s">
        <v>59</v>
      </c>
      <c r="D12" s="1">
        <v>0</v>
      </c>
      <c r="E12" s="1">
        <v>0</v>
      </c>
      <c r="F12" s="1">
        <v>0</v>
      </c>
      <c r="G12" s="4">
        <v>0</v>
      </c>
      <c r="H12" s="4">
        <v>1</v>
      </c>
      <c r="I12" s="1">
        <v>7.86</v>
      </c>
      <c r="J12" s="1">
        <v>10.38</v>
      </c>
      <c r="K12" s="4">
        <v>0</v>
      </c>
      <c r="L12" s="4">
        <v>0</v>
      </c>
      <c r="M12" s="4">
        <v>3</v>
      </c>
      <c r="N12" s="4">
        <v>3</v>
      </c>
      <c r="O12" s="1">
        <v>16.059999999999999</v>
      </c>
      <c r="P12" s="1">
        <v>17.72</v>
      </c>
      <c r="Q12" s="1">
        <v>56.58</v>
      </c>
      <c r="R12" s="1">
        <v>60.28</v>
      </c>
      <c r="S12" s="1">
        <v>0.17</v>
      </c>
      <c r="T12" s="1">
        <v>0.26</v>
      </c>
      <c r="U12" s="1">
        <v>4.84</v>
      </c>
      <c r="V12" s="1">
        <v>5.65</v>
      </c>
      <c r="W12" s="1">
        <v>1</v>
      </c>
      <c r="X12" s="1">
        <v>2</v>
      </c>
      <c r="Y12" s="1">
        <v>19</v>
      </c>
      <c r="Z12" s="1">
        <v>134</v>
      </c>
      <c r="AA12" s="1">
        <v>52</v>
      </c>
      <c r="AB12" s="1">
        <v>118</v>
      </c>
      <c r="AC12" s="1">
        <v>359.43999999999994</v>
      </c>
      <c r="AD12" s="1">
        <v>750.4434399999999</v>
      </c>
      <c r="AE12" s="1">
        <v>154.48000000000002</v>
      </c>
      <c r="AF12" s="1">
        <v>221.93210000000022</v>
      </c>
      <c r="AG12" s="1">
        <v>63.06</v>
      </c>
      <c r="AH12" s="1">
        <v>207.37298000000004</v>
      </c>
      <c r="AI12" s="1">
        <v>2.5600000000000307</v>
      </c>
      <c r="AJ12" s="1">
        <v>14.559120000000174</v>
      </c>
      <c r="AK12" s="1">
        <v>396.61000000000013</v>
      </c>
      <c r="AL12" s="1">
        <v>828.07995000000017</v>
      </c>
      <c r="AM12" s="1">
        <v>190.97999999999996</v>
      </c>
      <c r="AN12" s="1">
        <v>426.43202999999983</v>
      </c>
      <c r="AO12" s="1">
        <v>105.50999999999996</v>
      </c>
      <c r="AP12" s="1">
        <v>412.00344999999987</v>
      </c>
      <c r="AQ12" s="1">
        <v>14.428579999999954</v>
      </c>
      <c r="AR12" s="1">
        <v>2.539999999999992</v>
      </c>
      <c r="AS12" s="1">
        <f t="shared" si="0"/>
        <v>2.5200000000000005</v>
      </c>
      <c r="AT12" s="1"/>
    </row>
    <row r="13" spans="1:50" x14ac:dyDescent="0.3">
      <c r="A13" s="3" t="s">
        <v>60</v>
      </c>
      <c r="B13" s="3" t="s">
        <v>61</v>
      </c>
      <c r="C13" s="3" t="s">
        <v>62</v>
      </c>
      <c r="D13" s="1">
        <v>0</v>
      </c>
      <c r="E13" s="1">
        <v>0</v>
      </c>
      <c r="F13" s="1">
        <v>0</v>
      </c>
      <c r="G13" s="4">
        <v>1</v>
      </c>
      <c r="H13" s="4">
        <v>1</v>
      </c>
      <c r="I13" s="1">
        <v>8.3000000000000007</v>
      </c>
      <c r="J13" s="1">
        <v>10.119999999999999</v>
      </c>
      <c r="K13" s="4">
        <v>0</v>
      </c>
      <c r="L13" s="4">
        <v>0</v>
      </c>
      <c r="M13" s="4">
        <v>5</v>
      </c>
      <c r="N13" s="4">
        <v>4</v>
      </c>
      <c r="O13" s="1">
        <v>15.27</v>
      </c>
      <c r="P13" s="1">
        <v>16.11</v>
      </c>
      <c r="Q13" s="1">
        <v>35.26</v>
      </c>
      <c r="R13" s="1">
        <v>35.57</v>
      </c>
      <c r="S13" s="1">
        <v>-0.38</v>
      </c>
      <c r="T13" s="1">
        <v>-0.37</v>
      </c>
      <c r="U13" s="1">
        <v>4.88</v>
      </c>
      <c r="V13" s="1">
        <v>5.2</v>
      </c>
      <c r="W13" s="1">
        <v>2</v>
      </c>
      <c r="X13" s="1">
        <v>1</v>
      </c>
      <c r="Y13" s="1">
        <v>89</v>
      </c>
      <c r="Z13" s="1">
        <v>145</v>
      </c>
      <c r="AA13" s="1">
        <v>3</v>
      </c>
      <c r="AB13" s="1">
        <v>93</v>
      </c>
      <c r="AC13" s="1">
        <v>220.45</v>
      </c>
      <c r="AD13" s="1">
        <v>256.86315999999988</v>
      </c>
      <c r="AE13" s="1">
        <v>127.24000000000004</v>
      </c>
      <c r="AF13" s="1">
        <v>112.48241000000004</v>
      </c>
      <c r="AG13" s="1">
        <v>15.390000000000015</v>
      </c>
      <c r="AH13" s="1">
        <v>57.967650000000006</v>
      </c>
      <c r="AI13" s="1">
        <v>10.52000000000001</v>
      </c>
      <c r="AJ13" s="1">
        <v>54.514760000000038</v>
      </c>
      <c r="AK13" s="1">
        <v>225.10999999999999</v>
      </c>
      <c r="AL13" s="1">
        <v>430.80460999999991</v>
      </c>
      <c r="AM13" s="1">
        <v>49.299999999999983</v>
      </c>
      <c r="AN13" s="1">
        <v>147.50111999999996</v>
      </c>
      <c r="AO13" s="1">
        <v>31.259999999999991</v>
      </c>
      <c r="AP13" s="1">
        <v>120.90161999999997</v>
      </c>
      <c r="AQ13" s="1">
        <v>26.599499999999981</v>
      </c>
      <c r="AR13" s="1">
        <v>5.2199999999999989</v>
      </c>
      <c r="AS13" s="1">
        <f t="shared" si="0"/>
        <v>1.8199999999999985</v>
      </c>
      <c r="AT13" s="1"/>
    </row>
    <row r="14" spans="1:50" x14ac:dyDescent="0.3">
      <c r="A14" s="3" t="s">
        <v>63</v>
      </c>
      <c r="B14" s="3" t="s">
        <v>64</v>
      </c>
      <c r="C14" s="3" t="s">
        <v>65</v>
      </c>
      <c r="D14" s="1">
        <v>0</v>
      </c>
      <c r="E14" s="1">
        <v>0</v>
      </c>
      <c r="F14" s="1">
        <v>0</v>
      </c>
      <c r="G14" s="4">
        <v>1</v>
      </c>
      <c r="H14" s="4">
        <v>0</v>
      </c>
      <c r="I14" s="1">
        <v>7.73</v>
      </c>
      <c r="J14" s="1">
        <v>10.5</v>
      </c>
      <c r="K14" s="4">
        <v>0</v>
      </c>
      <c r="L14" s="4">
        <v>0</v>
      </c>
      <c r="M14" s="4">
        <v>4</v>
      </c>
      <c r="N14" s="4">
        <v>1</v>
      </c>
      <c r="O14" s="1">
        <v>17.2</v>
      </c>
      <c r="P14" s="1">
        <v>21.36</v>
      </c>
      <c r="Q14" s="1">
        <v>79.040000000000006</v>
      </c>
      <c r="R14" s="1">
        <v>92.21</v>
      </c>
      <c r="S14" s="1">
        <v>0.81</v>
      </c>
      <c r="T14" s="1">
        <v>1.42</v>
      </c>
      <c r="U14" s="1">
        <v>5.03</v>
      </c>
      <c r="V14" s="1">
        <v>7.31</v>
      </c>
      <c r="W14" s="1">
        <v>3</v>
      </c>
      <c r="X14" s="1">
        <v>1</v>
      </c>
      <c r="Y14" s="1">
        <v>125</v>
      </c>
      <c r="Z14" s="1">
        <v>150</v>
      </c>
      <c r="AA14" s="1">
        <v>82</v>
      </c>
      <c r="AB14" s="1">
        <v>98</v>
      </c>
      <c r="AC14" s="1">
        <v>383.55</v>
      </c>
      <c r="AD14" s="1">
        <v>534.96704999999997</v>
      </c>
      <c r="AE14" s="1">
        <v>92.67999999999995</v>
      </c>
      <c r="AF14" s="1">
        <v>327.72713999999974</v>
      </c>
      <c r="AG14" s="1">
        <v>67.389999999999958</v>
      </c>
      <c r="AH14" s="1">
        <v>259.62748999999985</v>
      </c>
      <c r="AI14" s="1">
        <v>13.429999999999978</v>
      </c>
      <c r="AJ14" s="1">
        <v>68.099649999999883</v>
      </c>
      <c r="AK14" s="1">
        <v>495.37000000000012</v>
      </c>
      <c r="AL14" s="1">
        <v>679.3209800000003</v>
      </c>
      <c r="AM14" s="1">
        <v>38.650000000000034</v>
      </c>
      <c r="AN14" s="1">
        <v>138.87508000000005</v>
      </c>
      <c r="AO14" s="1">
        <v>38.430000000000007</v>
      </c>
      <c r="AP14" s="1">
        <v>138.87508000000005</v>
      </c>
      <c r="AQ14" s="1">
        <v>0</v>
      </c>
      <c r="AR14" s="1">
        <v>0</v>
      </c>
      <c r="AS14" s="1">
        <f t="shared" si="0"/>
        <v>2.7699999999999996</v>
      </c>
      <c r="AT14" s="1"/>
    </row>
    <row r="15" spans="1:50" x14ac:dyDescent="0.3">
      <c r="A15" s="3" t="s">
        <v>66</v>
      </c>
      <c r="B15" s="3" t="s">
        <v>67</v>
      </c>
      <c r="C15" s="3" t="s">
        <v>68</v>
      </c>
      <c r="D15" s="1">
        <v>0</v>
      </c>
      <c r="E15" s="1">
        <v>0</v>
      </c>
      <c r="F15" s="1">
        <v>0</v>
      </c>
      <c r="G15" s="4">
        <v>0</v>
      </c>
      <c r="H15" s="4">
        <v>0</v>
      </c>
      <c r="I15" s="1">
        <v>7.97</v>
      </c>
      <c r="J15" s="1">
        <v>9.83</v>
      </c>
      <c r="K15" s="4">
        <v>0</v>
      </c>
      <c r="L15" s="4">
        <v>0</v>
      </c>
      <c r="M15" s="4">
        <v>4</v>
      </c>
      <c r="N15" s="4">
        <v>3</v>
      </c>
      <c r="O15" s="1">
        <v>15.71</v>
      </c>
      <c r="P15" s="1">
        <v>16.41</v>
      </c>
      <c r="Q15" s="1">
        <v>48.82</v>
      </c>
      <c r="R15" s="1">
        <v>47.42</v>
      </c>
      <c r="S15" s="1">
        <v>-0.03</v>
      </c>
      <c r="T15" s="1">
        <v>-0.06</v>
      </c>
      <c r="U15" s="1">
        <v>4.13</v>
      </c>
      <c r="V15" s="1">
        <v>4.0999999999999996</v>
      </c>
      <c r="W15" s="1">
        <v>1</v>
      </c>
      <c r="X15" s="1">
        <v>1</v>
      </c>
      <c r="Y15" s="1">
        <v>1</v>
      </c>
      <c r="Z15" s="1">
        <v>94</v>
      </c>
      <c r="AA15" s="1">
        <v>21</v>
      </c>
      <c r="AB15" s="1">
        <v>120</v>
      </c>
      <c r="AC15" s="1">
        <v>376.91999999999996</v>
      </c>
      <c r="AD15" s="1">
        <v>1200.1792999999998</v>
      </c>
      <c r="AE15" s="1">
        <v>257.69999999999993</v>
      </c>
      <c r="AF15" s="1">
        <v>370.93498</v>
      </c>
      <c r="AG15" s="1">
        <v>85.20999999999998</v>
      </c>
      <c r="AH15" s="1">
        <v>346.6663999999999</v>
      </c>
      <c r="AI15" s="1">
        <v>5.7400000000000091</v>
      </c>
      <c r="AJ15" s="1">
        <v>24.268580000000053</v>
      </c>
      <c r="AK15" s="1">
        <v>244.90999999999988</v>
      </c>
      <c r="AL15" s="1">
        <v>708.05875999999967</v>
      </c>
      <c r="AM15" s="1">
        <v>329.41999999999996</v>
      </c>
      <c r="AN15" s="1">
        <v>310.10585999999984</v>
      </c>
      <c r="AO15" s="1">
        <v>93.81</v>
      </c>
      <c r="AP15" s="1">
        <v>308.91578999999996</v>
      </c>
      <c r="AQ15" s="1">
        <v>1.1900699999998841</v>
      </c>
      <c r="AR15" s="1">
        <v>0.20999999999997954</v>
      </c>
      <c r="AS15" s="1">
        <f t="shared" si="0"/>
        <v>1.8600000000000003</v>
      </c>
      <c r="AT15" s="1"/>
    </row>
    <row r="16" spans="1:50" x14ac:dyDescent="0.3">
      <c r="A16" s="3" t="s">
        <v>69</v>
      </c>
      <c r="B16" s="3" t="s">
        <v>70</v>
      </c>
      <c r="C16" s="3" t="s">
        <v>71</v>
      </c>
      <c r="D16" s="1">
        <v>0</v>
      </c>
      <c r="E16" s="1">
        <v>1</v>
      </c>
      <c r="F16" s="1">
        <v>1</v>
      </c>
      <c r="G16" s="4">
        <v>0</v>
      </c>
      <c r="H16" s="4">
        <v>1</v>
      </c>
      <c r="I16" s="1">
        <v>8.5</v>
      </c>
      <c r="J16" s="1">
        <v>10.08</v>
      </c>
      <c r="K16" s="4">
        <v>0</v>
      </c>
      <c r="L16" s="4">
        <v>0</v>
      </c>
      <c r="M16" s="4">
        <v>5</v>
      </c>
      <c r="N16" s="4">
        <v>4</v>
      </c>
      <c r="O16" s="1">
        <v>17.559999999999999</v>
      </c>
      <c r="P16" s="1">
        <v>18.21</v>
      </c>
      <c r="Q16" s="1">
        <v>74.72</v>
      </c>
      <c r="R16" s="1">
        <v>69.430000000000007</v>
      </c>
      <c r="S16" s="1">
        <v>0.67</v>
      </c>
      <c r="T16" s="1">
        <v>0.51</v>
      </c>
      <c r="U16" s="1">
        <v>4.97</v>
      </c>
      <c r="V16" s="1">
        <v>5</v>
      </c>
      <c r="W16" s="1">
        <v>1</v>
      </c>
      <c r="X16" s="1">
        <v>3</v>
      </c>
      <c r="Y16" s="1">
        <v>87</v>
      </c>
      <c r="Z16" s="1">
        <v>120</v>
      </c>
      <c r="AA16" s="1">
        <v>110</v>
      </c>
      <c r="AB16" s="1">
        <v>134</v>
      </c>
      <c r="AC16" s="1">
        <v>451.42999999999995</v>
      </c>
      <c r="AD16" s="1">
        <v>328.77552999999995</v>
      </c>
      <c r="AE16" s="1">
        <v>43.650000000000006</v>
      </c>
      <c r="AF16" s="1">
        <v>95.585549999999984</v>
      </c>
      <c r="AG16" s="1">
        <v>42.009999999999991</v>
      </c>
      <c r="AH16" s="1">
        <v>89.308750000000003</v>
      </c>
      <c r="AI16" s="1">
        <v>1.5999999999999943</v>
      </c>
      <c r="AJ16" s="1">
        <v>6.2767999999999775</v>
      </c>
      <c r="AK16" s="1">
        <v>302.14999999999998</v>
      </c>
      <c r="AL16" s="1">
        <v>456.98465999999991</v>
      </c>
      <c r="AM16" s="1">
        <v>46.329999999999927</v>
      </c>
      <c r="AN16" s="1">
        <v>192.03613999999982</v>
      </c>
      <c r="AO16" s="1">
        <v>44.399999999999977</v>
      </c>
      <c r="AP16" s="1">
        <v>182.28436999999991</v>
      </c>
      <c r="AQ16" s="1">
        <v>9.751769999999885</v>
      </c>
      <c r="AR16" s="1">
        <v>1.7099999999999795</v>
      </c>
      <c r="AS16" s="1">
        <f t="shared" si="0"/>
        <v>1.58</v>
      </c>
      <c r="AT16" s="1"/>
    </row>
    <row r="17" spans="1:46" x14ac:dyDescent="0.3">
      <c r="A17" s="3" t="s">
        <v>72</v>
      </c>
      <c r="B17" s="3" t="s">
        <v>73</v>
      </c>
      <c r="C17" s="3" t="s">
        <v>74</v>
      </c>
      <c r="D17" s="1">
        <v>0</v>
      </c>
      <c r="E17" s="1">
        <v>0</v>
      </c>
      <c r="F17" s="1">
        <v>0</v>
      </c>
      <c r="G17" s="4">
        <v>1</v>
      </c>
      <c r="H17" s="4">
        <v>0</v>
      </c>
      <c r="I17" s="1">
        <v>7.86</v>
      </c>
      <c r="J17" s="1">
        <v>9.64</v>
      </c>
      <c r="K17" s="4">
        <v>0</v>
      </c>
      <c r="L17" s="4">
        <v>0</v>
      </c>
      <c r="M17" s="4">
        <v>3</v>
      </c>
      <c r="N17" s="4">
        <v>0</v>
      </c>
      <c r="O17" s="1">
        <v>15.44</v>
      </c>
      <c r="P17" s="1">
        <v>16.690000000000001</v>
      </c>
      <c r="Q17" s="1">
        <v>42.61</v>
      </c>
      <c r="R17" s="1">
        <v>55.03</v>
      </c>
      <c r="S17" s="1">
        <v>-0.19</v>
      </c>
      <c r="T17" s="1">
        <v>0.13</v>
      </c>
      <c r="U17" s="1">
        <v>4.5599999999999996</v>
      </c>
      <c r="V17" s="1">
        <v>5.36</v>
      </c>
      <c r="W17" s="1">
        <v>1</v>
      </c>
      <c r="X17" s="1">
        <v>1</v>
      </c>
      <c r="Y17" s="1">
        <v>99</v>
      </c>
      <c r="Z17" s="1">
        <v>132</v>
      </c>
      <c r="AA17" s="1">
        <v>89</v>
      </c>
      <c r="AB17" s="1">
        <v>129</v>
      </c>
      <c r="AC17" s="1">
        <v>176.66</v>
      </c>
      <c r="AD17" s="1">
        <v>312.82358000000005</v>
      </c>
      <c r="AE17" s="1">
        <v>120.74000000000004</v>
      </c>
      <c r="AF17" s="1">
        <v>218.63454000000013</v>
      </c>
      <c r="AG17" s="1">
        <v>70.77000000000001</v>
      </c>
      <c r="AH17" s="1">
        <v>200.58874000000003</v>
      </c>
      <c r="AI17" s="1">
        <v>4.6000000000000227</v>
      </c>
      <c r="AJ17" s="1">
        <v>18.045800000000089</v>
      </c>
      <c r="AK17" s="1">
        <v>362.95000000000005</v>
      </c>
      <c r="AL17" s="1">
        <v>465.69223000000017</v>
      </c>
      <c r="AM17" s="1">
        <v>337.65</v>
      </c>
      <c r="AN17" s="1">
        <v>353.43090000000001</v>
      </c>
      <c r="AO17" s="1">
        <v>102.27000000000001</v>
      </c>
      <c r="AP17" s="1">
        <v>348.48792000000003</v>
      </c>
      <c r="AQ17" s="1">
        <v>4.942979999999964</v>
      </c>
      <c r="AR17" s="1">
        <v>1.2599999999999909</v>
      </c>
      <c r="AS17" s="1">
        <f t="shared" si="0"/>
        <v>1.7800000000000002</v>
      </c>
      <c r="AT17" s="1"/>
    </row>
    <row r="18" spans="1:46" x14ac:dyDescent="0.3">
      <c r="A18" s="3" t="s">
        <v>75</v>
      </c>
      <c r="B18" s="3" t="s">
        <v>76</v>
      </c>
      <c r="C18" s="3" t="s">
        <v>77</v>
      </c>
      <c r="D18" s="1">
        <v>0</v>
      </c>
      <c r="E18" s="1">
        <v>0</v>
      </c>
      <c r="F18" s="1">
        <v>0</v>
      </c>
      <c r="G18" s="4">
        <v>1</v>
      </c>
      <c r="H18" s="4">
        <v>1</v>
      </c>
      <c r="I18" s="1">
        <v>7.17</v>
      </c>
      <c r="J18" s="1">
        <v>8.98</v>
      </c>
      <c r="K18" s="4">
        <v>0</v>
      </c>
      <c r="L18" s="4">
        <v>0</v>
      </c>
      <c r="M18" s="4">
        <v>3</v>
      </c>
      <c r="N18" s="4">
        <v>3</v>
      </c>
      <c r="O18" s="1">
        <v>15.68</v>
      </c>
      <c r="P18" s="1">
        <v>16.82</v>
      </c>
      <c r="Q18" s="1">
        <v>54.39</v>
      </c>
      <c r="R18" s="1">
        <v>59.86</v>
      </c>
      <c r="S18" s="1">
        <v>0.11</v>
      </c>
      <c r="T18" s="1">
        <v>0.25</v>
      </c>
      <c r="U18" s="1">
        <v>4.0999999999999996</v>
      </c>
      <c r="V18" s="1">
        <v>4.87</v>
      </c>
      <c r="W18" s="1">
        <v>1</v>
      </c>
      <c r="X18" s="1">
        <v>1</v>
      </c>
      <c r="Y18" s="1">
        <v>88</v>
      </c>
      <c r="Z18" s="1">
        <v>149</v>
      </c>
      <c r="AA18" s="1">
        <v>98</v>
      </c>
      <c r="AB18" s="1">
        <v>113</v>
      </c>
      <c r="AC18" s="1">
        <v>89.44</v>
      </c>
      <c r="AD18" s="1">
        <v>304.73418000000004</v>
      </c>
      <c r="AE18" s="1">
        <v>79.439999999999969</v>
      </c>
      <c r="AF18" s="1">
        <v>267.77575999999976</v>
      </c>
      <c r="AG18" s="1">
        <v>71.029999999999944</v>
      </c>
      <c r="AH18" s="1">
        <v>229.3417699999998</v>
      </c>
      <c r="AI18" s="1">
        <v>8.1299999999999955</v>
      </c>
      <c r="AJ18" s="1">
        <v>38.43398999999998</v>
      </c>
      <c r="AK18" s="1">
        <v>366.96999999999997</v>
      </c>
      <c r="AL18" s="1">
        <v>679.09535000000005</v>
      </c>
      <c r="AM18" s="1">
        <v>93.440000000000055</v>
      </c>
      <c r="AN18" s="1">
        <v>308.2511600000002</v>
      </c>
      <c r="AO18" s="1">
        <v>89.520000000000039</v>
      </c>
      <c r="AP18" s="1">
        <v>308.2511600000002</v>
      </c>
      <c r="AQ18" s="1">
        <v>0</v>
      </c>
      <c r="AR18" s="1">
        <v>0</v>
      </c>
      <c r="AS18" s="1">
        <f t="shared" si="0"/>
        <v>1.8100000000000005</v>
      </c>
      <c r="AT18" s="1"/>
    </row>
    <row r="19" spans="1:46" x14ac:dyDescent="0.3">
      <c r="A19" s="3" t="s">
        <v>78</v>
      </c>
      <c r="B19" s="3" t="s">
        <v>79</v>
      </c>
      <c r="C19" s="3" t="s">
        <v>80</v>
      </c>
      <c r="D19" s="1">
        <v>0</v>
      </c>
      <c r="E19" s="1">
        <v>0</v>
      </c>
      <c r="F19" s="1">
        <v>0</v>
      </c>
      <c r="G19" s="4">
        <v>1</v>
      </c>
      <c r="H19" s="4">
        <v>0</v>
      </c>
      <c r="I19" s="1">
        <v>8.44</v>
      </c>
      <c r="J19" s="1">
        <v>10.220000000000001</v>
      </c>
      <c r="K19" s="4">
        <v>0</v>
      </c>
      <c r="L19" s="4">
        <v>0</v>
      </c>
      <c r="M19" s="4">
        <v>4</v>
      </c>
      <c r="N19" s="4">
        <v>0</v>
      </c>
      <c r="O19" s="1">
        <v>18</v>
      </c>
      <c r="P19" s="1">
        <v>18.07</v>
      </c>
      <c r="Q19" s="1">
        <v>83.29</v>
      </c>
      <c r="R19" s="1">
        <v>71.599999999999994</v>
      </c>
      <c r="S19" s="1">
        <v>0.97</v>
      </c>
      <c r="T19" s="1">
        <v>0.56999999999999995</v>
      </c>
      <c r="U19" s="1">
        <v>4.9400000000000004</v>
      </c>
      <c r="V19" s="1">
        <v>4.49</v>
      </c>
      <c r="W19" s="1">
        <v>1</v>
      </c>
      <c r="X19" s="1">
        <v>3</v>
      </c>
      <c r="Y19" s="1">
        <v>6</v>
      </c>
      <c r="Z19" s="1">
        <v>115</v>
      </c>
      <c r="AA19" s="1">
        <v>41</v>
      </c>
      <c r="AB19" s="1">
        <v>118</v>
      </c>
      <c r="AC19" s="1">
        <v>491.95</v>
      </c>
      <c r="AD19" s="1">
        <v>538.69925999999998</v>
      </c>
      <c r="AE19" s="1">
        <v>51.53000000000003</v>
      </c>
      <c r="AF19" s="1">
        <v>230.58701999999991</v>
      </c>
      <c r="AG19" s="1">
        <v>45.149999999999977</v>
      </c>
      <c r="AH19" s="1">
        <v>203.39759999999993</v>
      </c>
      <c r="AI19" s="1">
        <v>6.1800000000000068</v>
      </c>
      <c r="AJ19" s="1">
        <v>27.189420000000005</v>
      </c>
      <c r="AK19" s="1">
        <v>587.08999999999992</v>
      </c>
      <c r="AL19" s="1">
        <v>873.14805000000001</v>
      </c>
      <c r="AM19" s="1">
        <v>63.039999999999992</v>
      </c>
      <c r="AN19" s="1">
        <v>309.44061000000005</v>
      </c>
      <c r="AO19" s="1">
        <v>41.890000000000015</v>
      </c>
      <c r="AP19" s="1">
        <v>203.89250000000007</v>
      </c>
      <c r="AQ19" s="1">
        <v>105.54810999999998</v>
      </c>
      <c r="AR19" s="1">
        <v>20.569999999999993</v>
      </c>
      <c r="AS19" s="1">
        <f t="shared" si="0"/>
        <v>1.7800000000000011</v>
      </c>
      <c r="AT19" s="1"/>
    </row>
    <row r="20" spans="1:46" x14ac:dyDescent="0.3">
      <c r="A20" s="3" t="s">
        <v>81</v>
      </c>
      <c r="B20" s="3" t="s">
        <v>82</v>
      </c>
      <c r="C20" s="3" t="s">
        <v>83</v>
      </c>
      <c r="D20" s="1">
        <v>0</v>
      </c>
      <c r="E20" s="1">
        <v>0</v>
      </c>
      <c r="F20" s="1">
        <v>0</v>
      </c>
      <c r="G20" s="4">
        <v>1</v>
      </c>
      <c r="H20" s="4">
        <v>1</v>
      </c>
      <c r="I20" s="1">
        <v>7.42</v>
      </c>
      <c r="J20" s="1">
        <v>9.18</v>
      </c>
      <c r="K20" s="4">
        <v>0</v>
      </c>
      <c r="L20" s="4">
        <v>0</v>
      </c>
      <c r="M20" s="4">
        <v>3</v>
      </c>
      <c r="N20" s="4">
        <v>1</v>
      </c>
      <c r="O20" s="1">
        <v>16.36</v>
      </c>
      <c r="P20" s="1">
        <v>19.21</v>
      </c>
      <c r="Q20" s="1">
        <v>66.14</v>
      </c>
      <c r="R20" s="1">
        <v>84.87</v>
      </c>
      <c r="S20" s="1">
        <v>0.42</v>
      </c>
      <c r="T20" s="1">
        <v>1.03</v>
      </c>
      <c r="U20" s="1">
        <v>5.07</v>
      </c>
      <c r="V20" s="1">
        <v>6.62</v>
      </c>
      <c r="W20" s="1">
        <v>1</v>
      </c>
      <c r="X20" s="1">
        <v>1</v>
      </c>
      <c r="Y20" s="1">
        <v>11</v>
      </c>
      <c r="Z20" s="1">
        <v>92</v>
      </c>
      <c r="AA20" s="1">
        <v>5</v>
      </c>
      <c r="AB20" s="1">
        <v>116</v>
      </c>
      <c r="AC20" s="1">
        <v>340.63</v>
      </c>
      <c r="AD20" s="1">
        <v>759.56398999999999</v>
      </c>
      <c r="AE20" s="1">
        <v>292.33000000000004</v>
      </c>
      <c r="AF20" s="1">
        <v>371.28860999999995</v>
      </c>
      <c r="AG20" s="1">
        <v>107.15</v>
      </c>
      <c r="AH20" s="1">
        <v>369.13515000000001</v>
      </c>
      <c r="AI20" s="1">
        <v>0.37999999999999545</v>
      </c>
      <c r="AJ20" s="1">
        <v>2.1534599999999742</v>
      </c>
      <c r="AK20" s="1">
        <v>302.81</v>
      </c>
      <c r="AL20" s="1">
        <v>814.78795999999988</v>
      </c>
      <c r="AM20" s="1">
        <v>265.3</v>
      </c>
      <c r="AN20" s="1">
        <v>398.42942000000005</v>
      </c>
      <c r="AO20" s="1">
        <v>115.22</v>
      </c>
      <c r="AP20" s="1">
        <v>392.42240000000004</v>
      </c>
      <c r="AQ20" s="1">
        <v>6.0070200000000131</v>
      </c>
      <c r="AR20" s="1">
        <v>1.0600000000000023</v>
      </c>
      <c r="AS20" s="1">
        <f t="shared" si="0"/>
        <v>1.7599999999999998</v>
      </c>
      <c r="AT20" s="1"/>
    </row>
    <row r="21" spans="1:46" x14ac:dyDescent="0.3">
      <c r="A21" s="3" t="s">
        <v>84</v>
      </c>
      <c r="B21" s="3" t="s">
        <v>85</v>
      </c>
      <c r="C21" s="3" t="s">
        <v>86</v>
      </c>
      <c r="D21" s="1">
        <v>0</v>
      </c>
      <c r="E21" s="1">
        <v>0</v>
      </c>
      <c r="F21" s="1">
        <v>0</v>
      </c>
      <c r="G21" s="4">
        <v>0</v>
      </c>
      <c r="H21" s="4">
        <v>0</v>
      </c>
      <c r="I21" s="1">
        <v>7.14</v>
      </c>
      <c r="J21" s="1">
        <v>9.11</v>
      </c>
      <c r="K21" s="4">
        <v>0</v>
      </c>
      <c r="L21" s="4">
        <v>0</v>
      </c>
      <c r="M21" s="4">
        <v>2</v>
      </c>
      <c r="N21" s="4">
        <v>3</v>
      </c>
      <c r="O21" s="1">
        <v>14.29</v>
      </c>
      <c r="P21" s="1">
        <v>14.62</v>
      </c>
      <c r="Q21" s="1">
        <v>15.1</v>
      </c>
      <c r="R21" s="1">
        <v>14.36</v>
      </c>
      <c r="S21" s="1">
        <v>-1.03</v>
      </c>
      <c r="T21" s="1">
        <v>-1.06</v>
      </c>
      <c r="U21" s="1">
        <v>3.36</v>
      </c>
      <c r="V21" s="1">
        <v>3.37</v>
      </c>
      <c r="W21" s="1">
        <v>1</v>
      </c>
      <c r="X21" s="1">
        <v>2</v>
      </c>
      <c r="Y21" s="1">
        <v>9</v>
      </c>
      <c r="Z21" s="1">
        <v>107</v>
      </c>
      <c r="AA21" s="1">
        <v>37</v>
      </c>
      <c r="AB21" s="1">
        <v>78</v>
      </c>
      <c r="AC21" s="1">
        <v>264.41999999999996</v>
      </c>
      <c r="AD21" s="1">
        <v>548.55450999999982</v>
      </c>
      <c r="AE21" s="1">
        <v>116.03000000000003</v>
      </c>
      <c r="AF21" s="1">
        <v>261.7560000000002</v>
      </c>
      <c r="AG21" s="1">
        <v>60.160000000000025</v>
      </c>
      <c r="AH21" s="1">
        <v>256.06481000000008</v>
      </c>
      <c r="AI21" s="1">
        <v>1.410000000000025</v>
      </c>
      <c r="AJ21" s="1">
        <v>5.6911900000001054</v>
      </c>
      <c r="AK21" s="1">
        <v>327.23</v>
      </c>
      <c r="AL21" s="1">
        <v>866.61877000000015</v>
      </c>
      <c r="AM21" s="1">
        <v>36.170000000000073</v>
      </c>
      <c r="AN21" s="1">
        <v>79.451040000000162</v>
      </c>
      <c r="AO21" s="1">
        <v>19.830000000000041</v>
      </c>
      <c r="AP21" s="1">
        <v>79.451040000000162</v>
      </c>
      <c r="AQ21" s="1">
        <v>0</v>
      </c>
      <c r="AR21" s="1">
        <v>0</v>
      </c>
      <c r="AS21" s="1">
        <f t="shared" si="0"/>
        <v>1.9699999999999998</v>
      </c>
    </row>
    <row r="22" spans="1:46" x14ac:dyDescent="0.3">
      <c r="A22" s="3" t="s">
        <v>87</v>
      </c>
      <c r="B22" s="3" t="s">
        <v>88</v>
      </c>
      <c r="C22" s="3" t="s">
        <v>89</v>
      </c>
      <c r="D22" s="1">
        <v>0</v>
      </c>
      <c r="E22" s="1">
        <v>1</v>
      </c>
      <c r="F22" s="1">
        <v>1</v>
      </c>
      <c r="G22" s="4">
        <v>1</v>
      </c>
      <c r="H22" s="4">
        <v>0</v>
      </c>
      <c r="I22" s="1">
        <v>8.3000000000000007</v>
      </c>
      <c r="J22" s="1">
        <v>10.220000000000001</v>
      </c>
      <c r="K22" s="4">
        <v>0</v>
      </c>
      <c r="L22" s="4">
        <v>0</v>
      </c>
      <c r="M22" s="4">
        <v>4</v>
      </c>
      <c r="N22" s="4">
        <v>5</v>
      </c>
      <c r="O22" s="1">
        <v>15.2</v>
      </c>
      <c r="P22" s="1">
        <v>15.41</v>
      </c>
      <c r="Q22" s="1">
        <v>32.950000000000003</v>
      </c>
      <c r="R22" s="1">
        <v>22.24</v>
      </c>
      <c r="S22" s="1">
        <v>-0.44</v>
      </c>
      <c r="T22" s="1">
        <v>-0.76</v>
      </c>
      <c r="U22" s="1">
        <v>3.57</v>
      </c>
      <c r="V22" s="1">
        <v>3.42</v>
      </c>
      <c r="W22" s="1">
        <v>2</v>
      </c>
      <c r="X22" s="1">
        <v>2</v>
      </c>
      <c r="Y22" s="1">
        <v>17</v>
      </c>
      <c r="Z22" s="1">
        <v>75</v>
      </c>
      <c r="AA22" s="1">
        <v>21</v>
      </c>
      <c r="AB22" s="1">
        <v>95</v>
      </c>
      <c r="AC22" s="1">
        <v>219.04000000000005</v>
      </c>
      <c r="AD22" s="1">
        <v>395.46432000000004</v>
      </c>
      <c r="AE22" s="1">
        <v>167.50999999999993</v>
      </c>
      <c r="AF22" s="1">
        <v>536.41379999999981</v>
      </c>
      <c r="AG22" s="1">
        <v>133.51999999999995</v>
      </c>
      <c r="AH22" s="1">
        <v>525.53315999999984</v>
      </c>
      <c r="AI22" s="1">
        <v>1.9199999999999875</v>
      </c>
      <c r="AJ22" s="1">
        <v>10.880639999999929</v>
      </c>
      <c r="AK22" s="1">
        <v>216.68</v>
      </c>
      <c r="AL22" s="1">
        <v>308.03827000000018</v>
      </c>
      <c r="AM22" s="1">
        <v>137.68</v>
      </c>
      <c r="AN22" s="1">
        <v>504.14844000000011</v>
      </c>
      <c r="AO22" s="1">
        <v>137.04000000000002</v>
      </c>
      <c r="AP22" s="1">
        <v>504.14844000000011</v>
      </c>
      <c r="AQ22" s="1">
        <v>0</v>
      </c>
      <c r="AR22" s="1">
        <v>0</v>
      </c>
      <c r="AS22" s="1">
        <f t="shared" si="0"/>
        <v>1.92</v>
      </c>
    </row>
    <row r="23" spans="1:46" x14ac:dyDescent="0.3">
      <c r="A23" s="3" t="s">
        <v>90</v>
      </c>
      <c r="B23" s="3" t="s">
        <v>91</v>
      </c>
      <c r="C23" s="3" t="s">
        <v>92</v>
      </c>
      <c r="D23" s="1">
        <v>0</v>
      </c>
      <c r="E23" s="1">
        <v>0</v>
      </c>
      <c r="F23" s="1">
        <v>0</v>
      </c>
      <c r="G23" s="4">
        <v>1</v>
      </c>
      <c r="H23" s="4">
        <v>1</v>
      </c>
      <c r="I23" s="1">
        <v>7.25</v>
      </c>
      <c r="J23" s="1">
        <v>8.85</v>
      </c>
      <c r="K23" s="4">
        <v>0</v>
      </c>
      <c r="L23" s="4">
        <v>0</v>
      </c>
      <c r="M23" s="4">
        <v>3</v>
      </c>
      <c r="N23" s="4">
        <v>3</v>
      </c>
      <c r="O23" s="1">
        <v>15.29</v>
      </c>
      <c r="P23" s="1">
        <v>15.15</v>
      </c>
      <c r="Q23" s="1">
        <v>44.37</v>
      </c>
      <c r="R23" s="1">
        <v>28.07</v>
      </c>
      <c r="S23" s="1">
        <v>-0.14000000000000001</v>
      </c>
      <c r="T23" s="1">
        <v>-0.57999999999999996</v>
      </c>
      <c r="U23" s="1">
        <v>3.98</v>
      </c>
      <c r="V23" s="1">
        <v>4</v>
      </c>
      <c r="W23" s="1">
        <v>1</v>
      </c>
      <c r="X23" s="1">
        <v>1</v>
      </c>
      <c r="Y23" s="1">
        <v>44</v>
      </c>
      <c r="Z23" s="1">
        <v>123</v>
      </c>
      <c r="AA23" s="1">
        <v>32</v>
      </c>
      <c r="AB23" s="1">
        <v>107</v>
      </c>
      <c r="AC23" s="1">
        <v>238.96000000000009</v>
      </c>
      <c r="AD23" s="1">
        <v>428.04547000000019</v>
      </c>
      <c r="AE23" s="1">
        <v>46.199999999999989</v>
      </c>
      <c r="AF23" s="1">
        <v>161.20643999999993</v>
      </c>
      <c r="AG23" s="1">
        <v>33.279999999999973</v>
      </c>
      <c r="AH23" s="1">
        <v>161.20643999999993</v>
      </c>
      <c r="AI23" s="1">
        <v>0</v>
      </c>
      <c r="AJ23" s="1">
        <v>0</v>
      </c>
      <c r="AK23" s="1">
        <v>129.55000000000001</v>
      </c>
      <c r="AL23" s="1">
        <v>394.45534000000004</v>
      </c>
      <c r="AM23" s="1">
        <v>36.799999999999983</v>
      </c>
      <c r="AN23" s="1">
        <v>164.20645999999999</v>
      </c>
      <c r="AO23" s="1">
        <v>36.28</v>
      </c>
      <c r="AP23" s="1">
        <v>164.20645999999999</v>
      </c>
      <c r="AQ23" s="1">
        <v>0</v>
      </c>
      <c r="AR23" s="1">
        <v>0</v>
      </c>
      <c r="AS23" s="1">
        <f t="shared" si="0"/>
        <v>1.5999999999999996</v>
      </c>
    </row>
    <row r="24" spans="1:46" x14ac:dyDescent="0.3">
      <c r="A24" s="3" t="s">
        <v>93</v>
      </c>
      <c r="B24" s="3" t="s">
        <v>41</v>
      </c>
      <c r="C24" s="3" t="s">
        <v>94</v>
      </c>
      <c r="D24" s="1">
        <v>0</v>
      </c>
      <c r="E24" s="1">
        <v>0</v>
      </c>
      <c r="F24" s="1">
        <v>0</v>
      </c>
      <c r="G24" s="4">
        <v>1</v>
      </c>
      <c r="H24" s="4">
        <v>1</v>
      </c>
      <c r="I24" s="1">
        <v>7.99</v>
      </c>
      <c r="J24" s="1">
        <v>9.5399999999999991</v>
      </c>
      <c r="K24" s="4">
        <v>0</v>
      </c>
      <c r="L24" s="4">
        <v>0</v>
      </c>
      <c r="M24" s="4">
        <v>2</v>
      </c>
      <c r="N24" s="4">
        <v>0</v>
      </c>
      <c r="O24" s="1">
        <v>15.15</v>
      </c>
      <c r="P24" s="1">
        <v>19.260000000000002</v>
      </c>
      <c r="Q24" s="1">
        <v>35.07</v>
      </c>
      <c r="R24" s="1">
        <v>83.15</v>
      </c>
      <c r="S24" s="1">
        <v>-0.38</v>
      </c>
      <c r="T24" s="1">
        <v>0.96</v>
      </c>
      <c r="U24" s="1">
        <v>5.66</v>
      </c>
      <c r="V24" s="1">
        <v>8.17</v>
      </c>
      <c r="W24" s="1">
        <v>1</v>
      </c>
      <c r="X24" s="1">
        <v>2</v>
      </c>
      <c r="Y24" s="1">
        <v>2</v>
      </c>
      <c r="Z24" s="1">
        <v>117</v>
      </c>
      <c r="AA24" s="1">
        <v>3</v>
      </c>
      <c r="AB24" s="1">
        <v>100</v>
      </c>
      <c r="AC24" s="1">
        <v>599.56000000000017</v>
      </c>
      <c r="AD24" s="1">
        <v>1024.45677</v>
      </c>
      <c r="AE24" s="1">
        <v>97.69</v>
      </c>
      <c r="AF24" s="1">
        <v>173.48655000000011</v>
      </c>
      <c r="AG24" s="1">
        <v>64.800000000000011</v>
      </c>
      <c r="AH24" s="1">
        <v>173.48655000000011</v>
      </c>
      <c r="AI24" s="1">
        <v>0</v>
      </c>
      <c r="AJ24" s="1">
        <v>0</v>
      </c>
      <c r="AK24" s="1">
        <v>634.47000000000025</v>
      </c>
      <c r="AL24" s="1">
        <v>1051.0533500000004</v>
      </c>
      <c r="AM24" s="1">
        <v>263.09999999999997</v>
      </c>
      <c r="AN24" s="1">
        <v>261.90449999999998</v>
      </c>
      <c r="AO24" s="1">
        <v>82.509999999999991</v>
      </c>
      <c r="AP24" s="1">
        <v>261.90449999999998</v>
      </c>
      <c r="AQ24" s="1">
        <v>0</v>
      </c>
      <c r="AR24" s="1">
        <v>0</v>
      </c>
      <c r="AS24" s="1">
        <f t="shared" si="0"/>
        <v>1.5499999999999989</v>
      </c>
    </row>
    <row r="25" spans="1:46" x14ac:dyDescent="0.3">
      <c r="A25" s="3" t="s">
        <v>95</v>
      </c>
      <c r="B25" s="3" t="s">
        <v>96</v>
      </c>
      <c r="C25" s="3" t="s">
        <v>97</v>
      </c>
      <c r="D25" s="1">
        <v>0</v>
      </c>
      <c r="E25" s="1">
        <v>0</v>
      </c>
      <c r="F25" s="1">
        <v>0</v>
      </c>
      <c r="G25" s="4">
        <v>0</v>
      </c>
      <c r="H25" s="4">
        <v>0</v>
      </c>
      <c r="I25" s="1">
        <v>7.04</v>
      </c>
      <c r="J25" s="1">
        <v>8.48</v>
      </c>
      <c r="K25" s="4">
        <v>0</v>
      </c>
      <c r="L25" s="4">
        <v>0</v>
      </c>
      <c r="M25" s="4">
        <v>5</v>
      </c>
      <c r="N25" s="4">
        <v>3</v>
      </c>
      <c r="O25" s="1">
        <v>15.71</v>
      </c>
      <c r="P25" s="1">
        <v>16.13</v>
      </c>
      <c r="Q25" s="1">
        <v>55.38</v>
      </c>
      <c r="R25" s="1">
        <v>54.46</v>
      </c>
      <c r="S25" s="1">
        <v>0.14000000000000001</v>
      </c>
      <c r="T25" s="1">
        <v>0.11</v>
      </c>
      <c r="U25" s="1">
        <v>3.43</v>
      </c>
      <c r="V25" s="1">
        <v>3.74</v>
      </c>
      <c r="W25" s="1">
        <v>2</v>
      </c>
      <c r="X25" s="1">
        <v>1</v>
      </c>
      <c r="Y25" s="1">
        <v>60</v>
      </c>
      <c r="Z25" s="1">
        <v>118</v>
      </c>
      <c r="AA25" s="1">
        <v>27</v>
      </c>
      <c r="AB25" s="1">
        <v>104</v>
      </c>
      <c r="AC25" s="1">
        <v>301.02999999999997</v>
      </c>
      <c r="AD25" s="1">
        <v>601.61999000000003</v>
      </c>
      <c r="AE25" s="1">
        <v>90.070000000000022</v>
      </c>
      <c r="AF25" s="1">
        <v>399.28030000000012</v>
      </c>
      <c r="AG25" s="1">
        <v>83.78</v>
      </c>
      <c r="AH25" s="1">
        <v>367.61018000000001</v>
      </c>
      <c r="AI25" s="1">
        <v>6.0400000000000205</v>
      </c>
      <c r="AJ25" s="1">
        <v>31.6701200000001</v>
      </c>
      <c r="AK25" s="1">
        <v>364.83000000000004</v>
      </c>
      <c r="AL25" s="1">
        <v>665.48886000000005</v>
      </c>
      <c r="AM25" s="1">
        <v>200.55</v>
      </c>
      <c r="AN25" s="1">
        <v>512.35174000000006</v>
      </c>
      <c r="AO25" s="1">
        <v>135.08000000000001</v>
      </c>
      <c r="AP25" s="1">
        <v>495.83507000000003</v>
      </c>
      <c r="AQ25" s="1">
        <v>16.516670000000044</v>
      </c>
      <c r="AR25" s="1">
        <v>3.3700000000000045</v>
      </c>
      <c r="AS25" s="1">
        <f t="shared" si="0"/>
        <v>1.4400000000000004</v>
      </c>
    </row>
    <row r="26" spans="1:46" x14ac:dyDescent="0.3">
      <c r="A26" s="3" t="s">
        <v>98</v>
      </c>
      <c r="B26" s="3" t="s">
        <v>99</v>
      </c>
      <c r="C26" s="3" t="s">
        <v>100</v>
      </c>
      <c r="D26" s="1">
        <v>0</v>
      </c>
      <c r="E26" s="1">
        <v>1</v>
      </c>
      <c r="F26" s="1">
        <v>1</v>
      </c>
      <c r="G26" s="4">
        <v>0</v>
      </c>
      <c r="H26" s="4">
        <v>1</v>
      </c>
      <c r="I26" s="1">
        <v>7.51</v>
      </c>
      <c r="J26" s="1">
        <v>9.02</v>
      </c>
      <c r="K26" s="4">
        <v>0</v>
      </c>
      <c r="L26" s="4">
        <v>0</v>
      </c>
      <c r="M26" s="4">
        <v>3</v>
      </c>
      <c r="N26" s="4">
        <v>4</v>
      </c>
      <c r="O26" s="1">
        <v>14.01</v>
      </c>
      <c r="P26" s="1">
        <v>15.17</v>
      </c>
      <c r="Q26" s="1">
        <v>12.72</v>
      </c>
      <c r="R26" s="1">
        <v>27.11</v>
      </c>
      <c r="S26" s="1">
        <v>-1.1399999999999999</v>
      </c>
      <c r="T26" s="1">
        <v>-0.61</v>
      </c>
      <c r="U26" s="1">
        <v>3.28</v>
      </c>
      <c r="V26" s="1">
        <v>3.86</v>
      </c>
      <c r="W26" s="1">
        <v>1</v>
      </c>
      <c r="X26" s="1">
        <v>1</v>
      </c>
      <c r="Y26" s="1">
        <v>79</v>
      </c>
      <c r="Z26" s="1">
        <v>83</v>
      </c>
      <c r="AA26" s="1">
        <v>70</v>
      </c>
      <c r="AB26" s="1">
        <v>128</v>
      </c>
      <c r="AC26" s="1">
        <v>80.62</v>
      </c>
      <c r="AD26" s="1">
        <v>219.67092000000005</v>
      </c>
      <c r="AE26" s="1">
        <v>30.430000000000007</v>
      </c>
      <c r="AF26" s="1">
        <v>110.33533999999989</v>
      </c>
      <c r="AG26" s="1">
        <v>28.799999999999955</v>
      </c>
      <c r="AH26" s="1">
        <v>110.33533999999989</v>
      </c>
      <c r="AI26" s="1">
        <v>0</v>
      </c>
      <c r="AJ26" s="1">
        <v>0</v>
      </c>
      <c r="AK26" s="1">
        <v>560.10000000000014</v>
      </c>
      <c r="AL26" s="1">
        <v>717.4835700000001</v>
      </c>
      <c r="AM26" s="1">
        <v>197.48</v>
      </c>
      <c r="AN26" s="1">
        <v>233.18188999999998</v>
      </c>
      <c r="AO26" s="1">
        <v>66.12</v>
      </c>
      <c r="AP26" s="1">
        <v>233.18188999999998</v>
      </c>
      <c r="AQ26" s="1">
        <v>0</v>
      </c>
      <c r="AR26" s="1">
        <v>0</v>
      </c>
      <c r="AS26" s="1">
        <f t="shared" si="0"/>
        <v>1.5099999999999998</v>
      </c>
    </row>
    <row r="27" spans="1:46" x14ac:dyDescent="0.3">
      <c r="A27" s="3" t="s">
        <v>101</v>
      </c>
      <c r="B27" s="3" t="s">
        <v>99</v>
      </c>
      <c r="C27" s="3" t="s">
        <v>100</v>
      </c>
      <c r="D27" s="1">
        <v>0</v>
      </c>
      <c r="E27" s="1">
        <v>1</v>
      </c>
      <c r="F27" s="1">
        <v>1</v>
      </c>
      <c r="G27" s="4">
        <v>0</v>
      </c>
      <c r="H27" s="4">
        <v>0</v>
      </c>
      <c r="I27" s="1">
        <v>8.9600000000000009</v>
      </c>
      <c r="J27" s="1">
        <v>10.48</v>
      </c>
      <c r="K27" s="4">
        <v>0</v>
      </c>
      <c r="L27" s="4">
        <v>0</v>
      </c>
      <c r="M27" s="4">
        <v>3</v>
      </c>
      <c r="N27" s="4">
        <v>4</v>
      </c>
      <c r="O27" s="1">
        <v>15.49</v>
      </c>
      <c r="P27" s="1">
        <v>16.45</v>
      </c>
      <c r="Q27" s="1">
        <v>34.909999999999997</v>
      </c>
      <c r="R27" s="1">
        <v>41.45</v>
      </c>
      <c r="S27" s="1">
        <v>-0.39</v>
      </c>
      <c r="T27" s="1">
        <v>-0.22</v>
      </c>
      <c r="U27" s="1">
        <v>3.6</v>
      </c>
      <c r="V27" s="1">
        <v>4.05</v>
      </c>
      <c r="W27" s="1">
        <v>1</v>
      </c>
      <c r="X27" s="1">
        <v>1</v>
      </c>
      <c r="Y27" s="1">
        <v>39</v>
      </c>
      <c r="Z27" s="1">
        <v>86</v>
      </c>
      <c r="AA27" s="1">
        <v>68</v>
      </c>
      <c r="AB27" s="1">
        <v>115</v>
      </c>
      <c r="AC27" s="1">
        <v>576.40000000000009</v>
      </c>
      <c r="AD27" s="1">
        <v>667.57078000000001</v>
      </c>
      <c r="AE27" s="1">
        <v>153.83999999999995</v>
      </c>
      <c r="AF27" s="1">
        <v>220.45444999999984</v>
      </c>
      <c r="AG27" s="1">
        <v>62.45999999999998</v>
      </c>
      <c r="AH27" s="1">
        <v>205.04554999999991</v>
      </c>
      <c r="AI27" s="1">
        <v>2.6999999999999886</v>
      </c>
      <c r="AJ27" s="1">
        <v>15.408899999999935</v>
      </c>
      <c r="AK27" s="1">
        <v>626.58000000000015</v>
      </c>
      <c r="AL27" s="1">
        <v>726.92953000000011</v>
      </c>
      <c r="AM27" s="1">
        <v>304.78999999999996</v>
      </c>
      <c r="AN27" s="1">
        <v>466.30883999999998</v>
      </c>
      <c r="AO27" s="1">
        <v>110.11999999999998</v>
      </c>
      <c r="AP27" s="1">
        <v>408.96028999999987</v>
      </c>
      <c r="AQ27" s="1">
        <v>57.34855000000006</v>
      </c>
      <c r="AR27" s="1">
        <v>10.050000000000011</v>
      </c>
      <c r="AS27" s="1">
        <f t="shared" si="0"/>
        <v>1.5199999999999996</v>
      </c>
    </row>
    <row r="28" spans="1:46" x14ac:dyDescent="0.3">
      <c r="A28" s="3" t="s">
        <v>102</v>
      </c>
      <c r="B28" s="3" t="s">
        <v>103</v>
      </c>
      <c r="C28" s="3" t="s">
        <v>104</v>
      </c>
      <c r="D28" s="1">
        <v>0</v>
      </c>
      <c r="E28" s="1">
        <v>1</v>
      </c>
      <c r="F28" s="1">
        <v>1</v>
      </c>
      <c r="G28" s="4">
        <v>0</v>
      </c>
      <c r="H28" s="4">
        <v>0</v>
      </c>
      <c r="I28" s="1">
        <v>7.38</v>
      </c>
      <c r="J28" s="1">
        <v>8.9700000000000006</v>
      </c>
      <c r="K28" s="4">
        <v>0</v>
      </c>
      <c r="L28" s="4">
        <v>0</v>
      </c>
      <c r="M28" s="4">
        <v>5</v>
      </c>
      <c r="N28" s="4">
        <v>4</v>
      </c>
      <c r="O28" s="1">
        <v>15.77</v>
      </c>
      <c r="P28" s="1">
        <v>16.21</v>
      </c>
      <c r="Q28" s="1">
        <v>54.75</v>
      </c>
      <c r="R28" s="1">
        <v>51.69</v>
      </c>
      <c r="S28" s="1">
        <v>0.12</v>
      </c>
      <c r="T28" s="1">
        <v>0.04</v>
      </c>
      <c r="U28" s="1">
        <v>3.54</v>
      </c>
      <c r="V28" s="1">
        <v>3.52</v>
      </c>
      <c r="W28" s="1">
        <v>1</v>
      </c>
      <c r="X28" s="1">
        <v>2</v>
      </c>
      <c r="Y28" s="1">
        <v>113</v>
      </c>
      <c r="Z28" s="1">
        <v>85</v>
      </c>
      <c r="AA28" s="1">
        <v>77</v>
      </c>
      <c r="AB28" s="1">
        <v>125</v>
      </c>
      <c r="AC28" s="1">
        <v>302.44999999999993</v>
      </c>
      <c r="AD28" s="1">
        <v>464.54648999999978</v>
      </c>
      <c r="AE28" s="1">
        <v>35.139999999999986</v>
      </c>
      <c r="AF28" s="1">
        <v>119.67931000000004</v>
      </c>
      <c r="AG28" s="1">
        <v>34.710000000000036</v>
      </c>
      <c r="AH28" s="1">
        <v>118.88593000000013</v>
      </c>
      <c r="AI28" s="1">
        <v>0.13999999999998636</v>
      </c>
      <c r="AJ28" s="1">
        <v>0.7933799999999227</v>
      </c>
      <c r="AK28" s="1">
        <v>412.84000000000003</v>
      </c>
      <c r="AL28" s="1">
        <v>576.70109999999977</v>
      </c>
      <c r="AM28" s="1">
        <v>68.25</v>
      </c>
      <c r="AN28" s="1">
        <v>285.73539</v>
      </c>
      <c r="AO28" s="1">
        <v>68.25</v>
      </c>
      <c r="AP28" s="1">
        <v>285.73539</v>
      </c>
      <c r="AQ28" s="1">
        <v>0</v>
      </c>
      <c r="AR28" s="1">
        <v>0</v>
      </c>
      <c r="AS28" s="1">
        <f t="shared" si="0"/>
        <v>1.5900000000000007</v>
      </c>
    </row>
    <row r="29" spans="1:46" x14ac:dyDescent="0.3">
      <c r="A29" s="3" t="s">
        <v>105</v>
      </c>
      <c r="B29" s="3" t="s">
        <v>106</v>
      </c>
      <c r="C29" s="3" t="s">
        <v>107</v>
      </c>
      <c r="D29" s="1">
        <v>0</v>
      </c>
      <c r="E29" s="1">
        <v>0</v>
      </c>
      <c r="F29" s="1">
        <v>0</v>
      </c>
      <c r="G29" s="4">
        <v>1</v>
      </c>
      <c r="H29" s="4">
        <v>0</v>
      </c>
      <c r="I29" s="1">
        <v>7.82</v>
      </c>
      <c r="J29" s="1">
        <v>9.3000000000000007</v>
      </c>
      <c r="K29" s="4">
        <v>0</v>
      </c>
      <c r="L29" s="4">
        <v>0</v>
      </c>
      <c r="M29" s="4">
        <v>3</v>
      </c>
      <c r="N29" s="4">
        <v>3</v>
      </c>
      <c r="O29" s="1">
        <v>18.39</v>
      </c>
      <c r="P29" s="1">
        <v>19.149999999999999</v>
      </c>
      <c r="Q29" s="1">
        <v>89.26</v>
      </c>
      <c r="R29" s="1">
        <v>87.26</v>
      </c>
      <c r="S29" s="1">
        <v>1.24</v>
      </c>
      <c r="T29" s="1">
        <v>1.1399999999999999</v>
      </c>
      <c r="U29" s="1">
        <v>6.84</v>
      </c>
      <c r="V29" s="1">
        <v>7.19</v>
      </c>
      <c r="W29" s="1">
        <v>1</v>
      </c>
      <c r="X29" s="1">
        <v>2</v>
      </c>
      <c r="Y29" s="1">
        <v>51</v>
      </c>
      <c r="Z29" s="1">
        <v>138</v>
      </c>
      <c r="AA29" s="1">
        <v>35</v>
      </c>
      <c r="AB29" s="1">
        <v>113</v>
      </c>
      <c r="AC29" s="1">
        <v>360.52</v>
      </c>
      <c r="AD29" s="1">
        <v>480.53684999999984</v>
      </c>
      <c r="AE29" s="1">
        <v>85.34</v>
      </c>
      <c r="AF29" s="1">
        <v>352.45533999999986</v>
      </c>
      <c r="AG29" s="1">
        <v>82.049999999999983</v>
      </c>
      <c r="AH29" s="1">
        <v>346.29622999999992</v>
      </c>
      <c r="AI29" s="1">
        <v>1.5699999999999932</v>
      </c>
      <c r="AJ29" s="1">
        <v>6.1591099999999734</v>
      </c>
      <c r="AK29" s="1">
        <v>138.57000000000011</v>
      </c>
      <c r="AL29" s="1">
        <v>265.71855000000022</v>
      </c>
      <c r="AM29" s="1">
        <v>341.21999999999997</v>
      </c>
      <c r="AN29" s="1">
        <v>412.83191999999991</v>
      </c>
      <c r="AO29" s="1">
        <v>88.66</v>
      </c>
      <c r="AP29" s="1">
        <v>380.40116</v>
      </c>
      <c r="AQ29" s="1">
        <v>32.430759999999943</v>
      </c>
      <c r="AR29" s="1">
        <v>7.6399999999999864</v>
      </c>
      <c r="AS29" s="1">
        <f t="shared" si="0"/>
        <v>1.4800000000000004</v>
      </c>
    </row>
    <row r="30" spans="1:46" x14ac:dyDescent="0.3">
      <c r="A30" s="3" t="s">
        <v>108</v>
      </c>
      <c r="B30" s="3" t="s">
        <v>109</v>
      </c>
      <c r="C30" s="3" t="s">
        <v>110</v>
      </c>
      <c r="D30" s="1">
        <v>0</v>
      </c>
      <c r="E30" s="1">
        <v>0</v>
      </c>
      <c r="F30" s="1">
        <v>0</v>
      </c>
      <c r="G30" s="4">
        <v>0</v>
      </c>
      <c r="H30" s="4">
        <v>0</v>
      </c>
      <c r="I30" s="1">
        <v>7.18</v>
      </c>
      <c r="J30" s="1">
        <v>8.35</v>
      </c>
      <c r="K30" s="4">
        <v>0</v>
      </c>
      <c r="L30" s="4">
        <v>0</v>
      </c>
      <c r="M30" s="4">
        <v>3</v>
      </c>
      <c r="N30" s="4">
        <v>4</v>
      </c>
      <c r="O30" s="1">
        <v>15.41</v>
      </c>
      <c r="P30" s="1">
        <v>15.98</v>
      </c>
      <c r="Q30" s="1">
        <v>46.33</v>
      </c>
      <c r="R30" s="1">
        <v>52.19</v>
      </c>
      <c r="S30" s="1">
        <v>-0.09</v>
      </c>
      <c r="T30" s="1">
        <v>0.05</v>
      </c>
      <c r="U30" s="1">
        <v>3.18</v>
      </c>
      <c r="V30" s="1">
        <v>3.33</v>
      </c>
      <c r="W30" s="1">
        <v>1</v>
      </c>
      <c r="X30" s="1">
        <v>1</v>
      </c>
      <c r="Y30" s="1">
        <v>0</v>
      </c>
      <c r="Z30" s="1">
        <v>148</v>
      </c>
      <c r="AA30" s="1">
        <v>4</v>
      </c>
      <c r="AB30" s="1">
        <v>114</v>
      </c>
      <c r="AC30" s="1">
        <v>620.09999999999991</v>
      </c>
      <c r="AD30" s="1">
        <v>810.80130000000031</v>
      </c>
      <c r="AE30" s="1">
        <v>111.72999999999996</v>
      </c>
      <c r="AF30" s="1">
        <v>392.77026999999981</v>
      </c>
      <c r="AG30" s="1">
        <v>111.54999999999995</v>
      </c>
      <c r="AH30" s="1">
        <v>392.77026999999981</v>
      </c>
      <c r="AI30" s="1">
        <v>0</v>
      </c>
      <c r="AJ30" s="1">
        <v>0</v>
      </c>
      <c r="AK30" s="1">
        <v>660.56000000000006</v>
      </c>
      <c r="AL30" s="1">
        <v>1154.4204100000002</v>
      </c>
      <c r="AM30" s="1">
        <v>150.05000000000001</v>
      </c>
      <c r="AN30" s="1">
        <v>531.56329000000005</v>
      </c>
      <c r="AO30" s="1">
        <v>142.61000000000001</v>
      </c>
      <c r="AP30" s="1">
        <v>531.56329000000005</v>
      </c>
      <c r="AQ30" s="1">
        <v>0</v>
      </c>
      <c r="AR30" s="1">
        <v>0</v>
      </c>
      <c r="AS30" s="1">
        <f t="shared" si="0"/>
        <v>1.17</v>
      </c>
    </row>
    <row r="31" spans="1:46" x14ac:dyDescent="0.3">
      <c r="A31" s="3" t="s">
        <v>111</v>
      </c>
      <c r="B31" s="3" t="s">
        <v>112</v>
      </c>
      <c r="C31" s="3" t="s">
        <v>113</v>
      </c>
      <c r="D31" s="1">
        <v>0</v>
      </c>
      <c r="E31" s="1">
        <v>0</v>
      </c>
      <c r="F31" s="1">
        <v>0</v>
      </c>
      <c r="G31" s="4">
        <v>1</v>
      </c>
      <c r="H31" s="4">
        <v>0</v>
      </c>
      <c r="I31" s="1">
        <v>7</v>
      </c>
      <c r="J31" s="1">
        <v>9.0399999999999991</v>
      </c>
      <c r="K31" s="4">
        <v>0</v>
      </c>
      <c r="L31" s="4">
        <v>0</v>
      </c>
      <c r="M31" s="4">
        <v>4</v>
      </c>
      <c r="N31" s="4">
        <v>3</v>
      </c>
      <c r="O31" s="1">
        <v>16.55</v>
      </c>
      <c r="P31" s="1">
        <v>17.89</v>
      </c>
      <c r="Q31" s="1">
        <v>73.91</v>
      </c>
      <c r="R31" s="1">
        <v>78.42</v>
      </c>
      <c r="S31" s="1">
        <v>0.64</v>
      </c>
      <c r="T31" s="1">
        <v>0.79</v>
      </c>
      <c r="U31" s="1">
        <v>4.67</v>
      </c>
      <c r="V31" s="1">
        <v>5.46</v>
      </c>
      <c r="W31" s="1">
        <v>1</v>
      </c>
      <c r="X31" s="1">
        <v>2</v>
      </c>
      <c r="Y31" s="1">
        <v>3</v>
      </c>
      <c r="Z31" s="1">
        <v>117</v>
      </c>
      <c r="AA31" s="1">
        <v>49</v>
      </c>
      <c r="AB31" s="1">
        <v>94</v>
      </c>
      <c r="AC31" s="1">
        <v>467.33999999999986</v>
      </c>
      <c r="AD31" s="1">
        <v>809.84021999999959</v>
      </c>
      <c r="AE31" s="1">
        <v>47.580000000000013</v>
      </c>
      <c r="AF31" s="1">
        <v>228.76915000000008</v>
      </c>
      <c r="AG31" s="1">
        <v>35.180000000000007</v>
      </c>
      <c r="AH31" s="1">
        <v>159.57508000000007</v>
      </c>
      <c r="AI31" s="1">
        <v>12.210000000000008</v>
      </c>
      <c r="AJ31" s="1">
        <v>69.194070000000039</v>
      </c>
      <c r="AK31" s="1">
        <v>599.87</v>
      </c>
      <c r="AL31" s="1">
        <v>775.92297999999994</v>
      </c>
      <c r="AM31" s="1">
        <v>51.820000000000022</v>
      </c>
      <c r="AN31" s="1">
        <v>213.31575000000009</v>
      </c>
      <c r="AO31" s="1">
        <v>51.610000000000014</v>
      </c>
      <c r="AP31" s="1">
        <v>212.12568000000005</v>
      </c>
      <c r="AQ31" s="1">
        <v>1.190070000000045</v>
      </c>
      <c r="AR31" s="1">
        <v>0.21000000000000796</v>
      </c>
      <c r="AS31" s="1">
        <f t="shared" si="0"/>
        <v>2.0399999999999991</v>
      </c>
    </row>
    <row r="32" spans="1:46" x14ac:dyDescent="0.3">
      <c r="A32" s="3" t="s">
        <v>114</v>
      </c>
      <c r="B32" s="3" t="s">
        <v>115</v>
      </c>
      <c r="C32" s="3" t="s">
        <v>104</v>
      </c>
      <c r="D32" s="1">
        <v>0</v>
      </c>
      <c r="E32" s="1">
        <v>0</v>
      </c>
      <c r="F32" s="1">
        <v>0</v>
      </c>
      <c r="G32" s="4">
        <v>0</v>
      </c>
      <c r="H32" s="4">
        <v>0</v>
      </c>
      <c r="I32" s="1">
        <v>8.2200000000000006</v>
      </c>
      <c r="J32" s="1">
        <v>9.3699999999999992</v>
      </c>
      <c r="K32" s="3">
        <v>0</v>
      </c>
      <c r="L32" s="3">
        <v>2</v>
      </c>
      <c r="M32" s="3">
        <v>4</v>
      </c>
      <c r="N32" s="3">
        <v>4</v>
      </c>
      <c r="O32" s="1">
        <v>16.05</v>
      </c>
      <c r="P32" s="1">
        <v>15.83</v>
      </c>
      <c r="Q32" s="1">
        <v>54.93</v>
      </c>
      <c r="R32" s="1">
        <v>39.21</v>
      </c>
      <c r="S32" s="1">
        <v>0.12</v>
      </c>
      <c r="T32" s="1">
        <v>-0.27</v>
      </c>
      <c r="U32" s="1">
        <v>4.42</v>
      </c>
      <c r="V32" s="1">
        <v>4.21</v>
      </c>
      <c r="W32" s="1">
        <v>1</v>
      </c>
      <c r="X32" s="1">
        <v>1</v>
      </c>
      <c r="Y32" s="1">
        <v>8</v>
      </c>
      <c r="Z32" s="1">
        <v>101</v>
      </c>
      <c r="AA32" s="1">
        <v>78</v>
      </c>
      <c r="AB32" s="1">
        <v>137</v>
      </c>
      <c r="AC32" s="1">
        <v>679.20000000000016</v>
      </c>
      <c r="AD32" s="1">
        <v>1098.4737700000003</v>
      </c>
      <c r="AE32" s="1">
        <v>32.250000000000028</v>
      </c>
      <c r="AF32" s="1">
        <v>111.03842999999985</v>
      </c>
      <c r="AG32" s="1">
        <v>27.160000000000025</v>
      </c>
      <c r="AH32" s="1">
        <v>82.940780000000075</v>
      </c>
      <c r="AI32" s="1">
        <v>4.9499999999999602</v>
      </c>
      <c r="AJ32" s="1">
        <v>28.097649999999771</v>
      </c>
      <c r="AK32" s="1">
        <v>506.2</v>
      </c>
      <c r="AL32" s="1">
        <v>684.72332000000006</v>
      </c>
      <c r="AM32" s="1">
        <v>71.28000000000003</v>
      </c>
      <c r="AN32" s="1">
        <v>292.31244000000015</v>
      </c>
      <c r="AO32" s="1">
        <v>64.199999999999989</v>
      </c>
      <c r="AP32" s="1">
        <v>252.29209999999995</v>
      </c>
      <c r="AQ32" s="1">
        <v>40.020340000000218</v>
      </c>
      <c r="AR32" s="1">
        <v>7.0200000000000387</v>
      </c>
      <c r="AS32" s="1">
        <f t="shared" si="0"/>
        <v>1.1499999999999986</v>
      </c>
    </row>
    <row r="33" spans="1:45" s="1" customFormat="1" x14ac:dyDescent="0.3">
      <c r="A33" s="1">
        <v>113</v>
      </c>
      <c r="B33" s="8">
        <v>44376</v>
      </c>
      <c r="C33" s="8">
        <v>44799</v>
      </c>
      <c r="D33" s="1">
        <v>0</v>
      </c>
      <c r="E33" s="1">
        <v>0</v>
      </c>
      <c r="F33" s="1">
        <v>0</v>
      </c>
      <c r="G33" s="3">
        <v>0</v>
      </c>
      <c r="H33" s="3">
        <v>0</v>
      </c>
      <c r="I33" s="1">
        <v>7.67</v>
      </c>
      <c r="J33" s="1">
        <v>8.82</v>
      </c>
      <c r="K33" s="3">
        <v>0</v>
      </c>
      <c r="L33" s="3">
        <v>0</v>
      </c>
      <c r="M33" s="3">
        <v>4</v>
      </c>
      <c r="N33" s="3">
        <v>4</v>
      </c>
      <c r="O33" s="1">
        <v>14.54</v>
      </c>
      <c r="P33" s="1">
        <v>14.54</v>
      </c>
      <c r="Q33" s="1">
        <v>19.52</v>
      </c>
      <c r="R33" s="1">
        <v>14.31</v>
      </c>
      <c r="S33" s="1">
        <v>-0.86</v>
      </c>
      <c r="T33" s="1">
        <v>-1.07</v>
      </c>
      <c r="U33" s="1">
        <v>3.88</v>
      </c>
      <c r="V33" s="1">
        <v>4.4400000000000004</v>
      </c>
      <c r="W33" s="1">
        <v>1</v>
      </c>
      <c r="X33" s="1">
        <v>1</v>
      </c>
      <c r="Y33" s="1">
        <v>1</v>
      </c>
      <c r="Z33" s="1">
        <v>141</v>
      </c>
      <c r="AA33" s="1">
        <v>141</v>
      </c>
      <c r="AB33" s="1">
        <v>148</v>
      </c>
      <c r="AC33" s="1">
        <v>99</v>
      </c>
      <c r="AD33" s="1">
        <v>137</v>
      </c>
      <c r="AE33" s="1">
        <v>315.88</v>
      </c>
      <c r="AF33" s="1">
        <v>588.78</v>
      </c>
      <c r="AG33" s="1">
        <v>99.1</v>
      </c>
      <c r="AH33" s="1">
        <v>327.32</v>
      </c>
      <c r="AI33" s="1">
        <v>92.39</v>
      </c>
      <c r="AJ33" s="1">
        <v>327.32</v>
      </c>
      <c r="AK33" s="1">
        <v>0</v>
      </c>
      <c r="AL33" s="1">
        <v>0</v>
      </c>
      <c r="AM33" s="1">
        <v>280.38</v>
      </c>
      <c r="AN33" s="1">
        <v>318.13</v>
      </c>
      <c r="AO33" s="1">
        <v>81.349999999999994</v>
      </c>
      <c r="AP33" s="1">
        <v>350.12</v>
      </c>
      <c r="AQ33" s="1">
        <v>76.61</v>
      </c>
      <c r="AR33" s="1">
        <v>331.52</v>
      </c>
      <c r="AS33" s="1">
        <f t="shared" si="0"/>
        <v>1.1500000000000004</v>
      </c>
    </row>
    <row r="34" spans="1:45" x14ac:dyDescent="0.3">
      <c r="A34" s="3" t="s">
        <v>117</v>
      </c>
      <c r="B34" s="3" t="s">
        <v>118</v>
      </c>
      <c r="C34" s="3" t="s">
        <v>119</v>
      </c>
      <c r="D34" s="1">
        <v>0</v>
      </c>
      <c r="E34" s="1">
        <v>0</v>
      </c>
      <c r="F34" s="1">
        <v>0</v>
      </c>
      <c r="G34" s="4">
        <v>0</v>
      </c>
      <c r="H34" s="4">
        <v>0</v>
      </c>
      <c r="I34" s="1">
        <v>7.39</v>
      </c>
      <c r="J34" s="1">
        <v>8.56</v>
      </c>
      <c r="K34" s="3">
        <v>0</v>
      </c>
      <c r="L34" s="3">
        <v>0</v>
      </c>
      <c r="M34" s="3">
        <v>5</v>
      </c>
      <c r="N34" s="3">
        <v>3</v>
      </c>
      <c r="O34" s="1">
        <v>15.85</v>
      </c>
      <c r="P34" s="1">
        <v>16.11</v>
      </c>
      <c r="Q34" s="1">
        <v>56.67</v>
      </c>
      <c r="R34" s="1">
        <v>53.29</v>
      </c>
      <c r="S34" s="1">
        <v>0.17</v>
      </c>
      <c r="T34" s="1">
        <v>0.08</v>
      </c>
      <c r="U34" s="1">
        <v>4.84</v>
      </c>
      <c r="V34" s="1">
        <v>4.76</v>
      </c>
      <c r="W34" s="1">
        <v>1</v>
      </c>
      <c r="X34" s="1">
        <v>1</v>
      </c>
      <c r="Y34" s="1">
        <v>43</v>
      </c>
      <c r="Z34" s="1">
        <v>127</v>
      </c>
      <c r="AA34" s="1">
        <v>11</v>
      </c>
      <c r="AB34" s="1">
        <v>119</v>
      </c>
      <c r="AC34" s="1">
        <v>602.53</v>
      </c>
      <c r="AD34" s="1">
        <v>682.67606999999987</v>
      </c>
      <c r="AE34" s="1">
        <v>26.840000000000032</v>
      </c>
      <c r="AF34" s="1">
        <v>60.374309999999952</v>
      </c>
      <c r="AG34" s="1">
        <v>26.079999999999984</v>
      </c>
      <c r="AH34" s="1">
        <v>60.374309999999952</v>
      </c>
      <c r="AI34" s="1">
        <v>0</v>
      </c>
      <c r="AJ34" s="1">
        <v>0</v>
      </c>
      <c r="AK34" s="1">
        <v>625.65999999999985</v>
      </c>
      <c r="AL34" s="1">
        <v>878.43229999999983</v>
      </c>
      <c r="AM34" s="1">
        <v>79.790000000000049</v>
      </c>
      <c r="AN34" s="1">
        <v>245.81826000000009</v>
      </c>
      <c r="AO34" s="1">
        <v>79.570000000000022</v>
      </c>
      <c r="AP34" s="1">
        <v>245.81826000000009</v>
      </c>
      <c r="AQ34" s="1">
        <v>0</v>
      </c>
      <c r="AR34" s="1">
        <v>0</v>
      </c>
      <c r="AS34" s="1">
        <f t="shared" si="0"/>
        <v>1.1700000000000008</v>
      </c>
    </row>
    <row r="35" spans="1:45" x14ac:dyDescent="0.3">
      <c r="A35" s="3" t="s">
        <v>120</v>
      </c>
      <c r="B35" s="3" t="s">
        <v>121</v>
      </c>
      <c r="C35" s="3" t="s">
        <v>122</v>
      </c>
      <c r="D35" s="1">
        <v>0</v>
      </c>
      <c r="E35" s="1">
        <v>1</v>
      </c>
      <c r="F35" s="1">
        <v>1</v>
      </c>
      <c r="G35" s="4">
        <v>0</v>
      </c>
      <c r="H35" s="4">
        <v>1</v>
      </c>
      <c r="I35" s="1">
        <v>7.77</v>
      </c>
      <c r="J35" s="1">
        <v>9.0299999999999994</v>
      </c>
      <c r="K35" s="4">
        <v>0</v>
      </c>
      <c r="L35" s="4">
        <v>0</v>
      </c>
      <c r="M35" s="4">
        <v>5</v>
      </c>
      <c r="N35" s="4">
        <v>3</v>
      </c>
      <c r="O35" s="1">
        <v>14.39</v>
      </c>
      <c r="P35" s="1">
        <v>14.15</v>
      </c>
      <c r="Q35" s="1">
        <v>19.190000000000001</v>
      </c>
      <c r="R35" s="1">
        <v>9.4600000000000009</v>
      </c>
      <c r="S35" s="1">
        <v>-0.87</v>
      </c>
      <c r="T35" s="1">
        <v>-1.31</v>
      </c>
      <c r="U35" s="1">
        <v>3.7</v>
      </c>
      <c r="V35" s="1">
        <v>3.51</v>
      </c>
      <c r="W35" s="1">
        <v>1</v>
      </c>
      <c r="X35" s="1">
        <v>3</v>
      </c>
      <c r="Y35" s="1">
        <v>5</v>
      </c>
      <c r="Z35" s="1">
        <v>148</v>
      </c>
      <c r="AA35" s="1">
        <v>62</v>
      </c>
      <c r="AB35" s="1">
        <v>95</v>
      </c>
      <c r="AC35" s="1">
        <v>221.14</v>
      </c>
      <c r="AD35" s="1">
        <v>363.76801999999986</v>
      </c>
      <c r="AE35" s="1">
        <v>192.61999999999995</v>
      </c>
      <c r="AF35" s="1">
        <v>214.89808999999985</v>
      </c>
      <c r="AG35" s="1">
        <v>64.099999999999966</v>
      </c>
      <c r="AH35" s="1">
        <v>214.89808999999985</v>
      </c>
      <c r="AI35" s="1">
        <v>0</v>
      </c>
      <c r="AJ35" s="1">
        <v>0</v>
      </c>
      <c r="AK35" s="1">
        <v>397.40810810810825</v>
      </c>
      <c r="AL35" s="1">
        <v>697.67548378378387</v>
      </c>
      <c r="AM35" s="1">
        <v>145.37000000000003</v>
      </c>
      <c r="AN35" s="1">
        <v>203.80276000000003</v>
      </c>
      <c r="AO35" s="1">
        <v>51.30000000000004</v>
      </c>
      <c r="AP35" s="1">
        <v>197.46999000000011</v>
      </c>
      <c r="AQ35" s="1">
        <v>6.3327699999999147</v>
      </c>
      <c r="AR35" s="1">
        <v>1.1099999999999852</v>
      </c>
      <c r="AS35" s="1">
        <f t="shared" si="0"/>
        <v>1.2599999999999998</v>
      </c>
    </row>
    <row r="36" spans="1:45" x14ac:dyDescent="0.3">
      <c r="A36" s="3" t="s">
        <v>123</v>
      </c>
      <c r="B36" s="3" t="s">
        <v>124</v>
      </c>
      <c r="C36" s="3" t="s">
        <v>125</v>
      </c>
      <c r="D36" s="1">
        <v>0</v>
      </c>
      <c r="E36" s="1">
        <v>0</v>
      </c>
      <c r="F36" s="1">
        <v>0</v>
      </c>
      <c r="G36" s="4">
        <v>0</v>
      </c>
      <c r="H36" s="4">
        <v>0</v>
      </c>
      <c r="I36" s="1">
        <v>8.81</v>
      </c>
      <c r="J36" s="1">
        <v>9.98</v>
      </c>
      <c r="K36" s="4">
        <v>0</v>
      </c>
      <c r="L36" s="4">
        <v>0</v>
      </c>
      <c r="M36" s="4">
        <v>3</v>
      </c>
      <c r="N36" s="4">
        <v>5</v>
      </c>
      <c r="O36" s="1">
        <v>15.57</v>
      </c>
      <c r="P36" s="1">
        <v>16.88</v>
      </c>
      <c r="Q36" s="1">
        <v>38.18</v>
      </c>
      <c r="R36" s="1">
        <v>55.23</v>
      </c>
      <c r="S36" s="1">
        <v>-0.3</v>
      </c>
      <c r="T36" s="1">
        <v>0.13</v>
      </c>
      <c r="U36" s="1">
        <v>3.48</v>
      </c>
      <c r="V36" s="1">
        <v>4.13</v>
      </c>
      <c r="W36" s="1">
        <v>1</v>
      </c>
      <c r="X36" s="1">
        <v>1</v>
      </c>
      <c r="Y36" s="1">
        <v>6</v>
      </c>
      <c r="Z36" s="1">
        <v>118</v>
      </c>
      <c r="AA36" s="1">
        <v>8</v>
      </c>
      <c r="AB36" s="1">
        <v>136</v>
      </c>
      <c r="AC36" s="1">
        <v>559.26</v>
      </c>
      <c r="AD36" s="1">
        <v>980.12026000000014</v>
      </c>
      <c r="AE36" s="1">
        <v>70.060000000000059</v>
      </c>
      <c r="AF36" s="1">
        <v>242.09115000000008</v>
      </c>
      <c r="AG36" s="1">
        <v>69.78000000000003</v>
      </c>
      <c r="AH36" s="1">
        <v>242.09115000000008</v>
      </c>
      <c r="AI36" s="1">
        <v>0</v>
      </c>
      <c r="AJ36" s="1">
        <v>0</v>
      </c>
      <c r="AK36" s="1">
        <v>617.17000000000007</v>
      </c>
      <c r="AL36" s="1">
        <v>1023.6302200000001</v>
      </c>
      <c r="AM36" s="1">
        <v>251.72000000000003</v>
      </c>
      <c r="AN36" s="1">
        <v>398.05406000000005</v>
      </c>
      <c r="AO36" s="1">
        <v>111.57000000000001</v>
      </c>
      <c r="AP36" s="1">
        <v>386.20659999999998</v>
      </c>
      <c r="AQ36" s="1">
        <v>11.847460000000041</v>
      </c>
      <c r="AR36" s="1">
        <v>3.0200000000000102</v>
      </c>
      <c r="AS36" s="1">
        <f t="shared" si="0"/>
        <v>1.17</v>
      </c>
    </row>
    <row r="37" spans="1:45" x14ac:dyDescent="0.3">
      <c r="A37" s="3" t="s">
        <v>126</v>
      </c>
      <c r="B37" s="3" t="s">
        <v>127</v>
      </c>
      <c r="C37" s="3" t="s">
        <v>116</v>
      </c>
      <c r="D37" s="1">
        <v>0</v>
      </c>
      <c r="E37" s="1">
        <v>0</v>
      </c>
      <c r="F37" s="1">
        <v>0</v>
      </c>
      <c r="G37" s="4">
        <v>1</v>
      </c>
      <c r="H37" s="4">
        <v>0</v>
      </c>
      <c r="I37" s="1">
        <v>8.32</v>
      </c>
      <c r="J37" s="1">
        <v>9.4499999999999993</v>
      </c>
      <c r="K37" s="4">
        <v>0</v>
      </c>
      <c r="L37" s="4">
        <v>0</v>
      </c>
      <c r="M37" s="4">
        <v>3</v>
      </c>
      <c r="N37" s="4">
        <v>1</v>
      </c>
      <c r="O37" s="1">
        <v>15.88</v>
      </c>
      <c r="P37" s="1">
        <v>16.920000000000002</v>
      </c>
      <c r="Q37" s="1">
        <v>50.08</v>
      </c>
      <c r="R37" s="1">
        <v>61.17</v>
      </c>
      <c r="S37" s="1">
        <v>0</v>
      </c>
      <c r="T37" s="1">
        <v>0.28000000000000003</v>
      </c>
      <c r="U37" s="1">
        <v>4.1399999999999997</v>
      </c>
      <c r="V37" s="1">
        <v>4.4800000000000004</v>
      </c>
      <c r="W37" s="1">
        <v>1</v>
      </c>
      <c r="X37" s="1">
        <v>2</v>
      </c>
      <c r="Y37" s="1">
        <v>69</v>
      </c>
      <c r="Z37" s="1">
        <v>86</v>
      </c>
      <c r="AA37" s="1">
        <v>37</v>
      </c>
      <c r="AB37" s="1">
        <v>102</v>
      </c>
      <c r="AC37" s="1">
        <v>564.52</v>
      </c>
      <c r="AD37" s="1">
        <v>891.66029000000015</v>
      </c>
      <c r="AE37" s="1">
        <v>202.71999999999994</v>
      </c>
      <c r="AF37" s="1">
        <v>379.6638499999998</v>
      </c>
      <c r="AG37" s="1">
        <v>99.899999999999949</v>
      </c>
      <c r="AH37" s="1">
        <v>379.6638499999998</v>
      </c>
      <c r="AI37" s="1">
        <v>0</v>
      </c>
      <c r="AJ37" s="1">
        <v>0</v>
      </c>
      <c r="AK37" s="1">
        <v>538.15</v>
      </c>
      <c r="AL37" s="1">
        <v>938.93401000000006</v>
      </c>
      <c r="AM37" s="1">
        <v>132.40000000000003</v>
      </c>
      <c r="AN37" s="1">
        <v>538.58103000000006</v>
      </c>
      <c r="AO37" s="1">
        <v>129.78000000000003</v>
      </c>
      <c r="AP37" s="1">
        <v>526.10845000000006</v>
      </c>
      <c r="AQ37" s="1">
        <v>12.472580000000001</v>
      </c>
      <c r="AR37" s="1">
        <v>2.6200000000000045</v>
      </c>
      <c r="AS37" s="1">
        <f t="shared" si="0"/>
        <v>1.129999999999999</v>
      </c>
    </row>
    <row r="38" spans="1:45" x14ac:dyDescent="0.3">
      <c r="A38" s="3" t="s">
        <v>128</v>
      </c>
      <c r="B38" s="3" t="s">
        <v>129</v>
      </c>
      <c r="C38" s="3" t="s">
        <v>130</v>
      </c>
      <c r="D38" s="1">
        <v>0</v>
      </c>
      <c r="E38" s="1">
        <v>0</v>
      </c>
      <c r="F38" s="1">
        <v>0</v>
      </c>
      <c r="G38" s="4">
        <v>1</v>
      </c>
      <c r="H38" s="4">
        <v>1</v>
      </c>
      <c r="I38" s="1">
        <v>7.25</v>
      </c>
      <c r="J38" s="1">
        <v>8.4499999999999993</v>
      </c>
      <c r="K38" s="4">
        <v>0</v>
      </c>
      <c r="L38" s="4">
        <v>0</v>
      </c>
      <c r="M38" s="4">
        <v>5</v>
      </c>
      <c r="N38" s="4">
        <v>3</v>
      </c>
      <c r="O38" s="1">
        <v>17.25</v>
      </c>
      <c r="P38" s="1">
        <v>19.25</v>
      </c>
      <c r="Q38" s="1">
        <v>80.150000000000006</v>
      </c>
      <c r="R38" s="1">
        <v>88.77</v>
      </c>
      <c r="S38" s="1">
        <v>0.85</v>
      </c>
      <c r="T38" s="1">
        <v>1.21</v>
      </c>
      <c r="U38" s="1">
        <v>5.71</v>
      </c>
      <c r="V38" s="1">
        <v>6.81</v>
      </c>
      <c r="W38" s="1">
        <v>2</v>
      </c>
      <c r="X38" s="1">
        <v>3</v>
      </c>
      <c r="Y38" s="1">
        <v>60</v>
      </c>
      <c r="Z38" s="1">
        <v>86</v>
      </c>
      <c r="AA38" s="1">
        <v>5</v>
      </c>
      <c r="AB38" s="1">
        <v>135</v>
      </c>
      <c r="AC38" s="1">
        <v>389.91</v>
      </c>
      <c r="AD38" s="1">
        <v>1149.93785</v>
      </c>
      <c r="AE38" s="1">
        <v>158.78</v>
      </c>
      <c r="AF38" s="1">
        <v>353.4156200000001</v>
      </c>
      <c r="AG38" s="1">
        <v>76.680000000000007</v>
      </c>
      <c r="AH38" s="1">
        <v>340.72621000000004</v>
      </c>
      <c r="AI38" s="1">
        <v>2.5500000000000114</v>
      </c>
      <c r="AJ38" s="1">
        <v>12.68941000000008</v>
      </c>
      <c r="AK38" s="1">
        <v>683.56999999999982</v>
      </c>
      <c r="AL38" s="1">
        <v>1311.7205899999997</v>
      </c>
      <c r="AM38" s="1">
        <v>69.139999999999986</v>
      </c>
      <c r="AN38" s="1">
        <v>254.65315999999996</v>
      </c>
      <c r="AO38" s="1">
        <v>57.019999999999982</v>
      </c>
      <c r="AP38" s="1">
        <v>254.65315999999996</v>
      </c>
      <c r="AQ38" s="1">
        <v>0</v>
      </c>
      <c r="AR38" s="1">
        <v>0</v>
      </c>
      <c r="AS38" s="1">
        <f t="shared" si="0"/>
        <v>1.1999999999999993</v>
      </c>
    </row>
    <row r="39" spans="1:45" x14ac:dyDescent="0.3">
      <c r="A39" s="3" t="s">
        <v>131</v>
      </c>
      <c r="B39" s="3" t="s">
        <v>132</v>
      </c>
      <c r="C39" s="3" t="s">
        <v>133</v>
      </c>
      <c r="D39" s="1">
        <v>0</v>
      </c>
      <c r="E39" s="1">
        <v>1</v>
      </c>
      <c r="F39" s="1">
        <v>1</v>
      </c>
      <c r="G39" s="4">
        <v>0</v>
      </c>
      <c r="H39" s="4">
        <v>0</v>
      </c>
      <c r="I39" s="1">
        <v>7.26</v>
      </c>
      <c r="J39" s="1">
        <v>8.44</v>
      </c>
      <c r="K39" s="4">
        <v>0</v>
      </c>
      <c r="L39" s="4">
        <v>0</v>
      </c>
      <c r="M39" s="4">
        <v>4</v>
      </c>
      <c r="N39" s="4">
        <v>5</v>
      </c>
      <c r="O39" s="1">
        <v>14.73</v>
      </c>
      <c r="P39" s="1">
        <v>15.47</v>
      </c>
      <c r="Q39" s="1">
        <v>26.19</v>
      </c>
      <c r="R39" s="1">
        <v>38.83</v>
      </c>
      <c r="S39" s="1">
        <v>-0.64</v>
      </c>
      <c r="T39" s="1">
        <v>-0.28000000000000003</v>
      </c>
      <c r="U39" s="1">
        <v>3.65</v>
      </c>
      <c r="V39" s="1">
        <v>3.27</v>
      </c>
      <c r="W39" s="1">
        <v>1</v>
      </c>
      <c r="X39" s="1">
        <v>1</v>
      </c>
      <c r="Y39" s="1">
        <v>57</v>
      </c>
      <c r="Z39" s="1">
        <v>87</v>
      </c>
      <c r="AA39" s="1">
        <v>70</v>
      </c>
      <c r="AB39" s="1">
        <v>114</v>
      </c>
      <c r="AC39" s="1">
        <v>315.87945205479457</v>
      </c>
      <c r="AD39" s="1">
        <v>588.78029191780843</v>
      </c>
      <c r="AE39" s="1">
        <v>120.71000000000004</v>
      </c>
      <c r="AF39" s="1">
        <v>258.71270000000027</v>
      </c>
      <c r="AG39" s="1">
        <v>56.240000000000009</v>
      </c>
      <c r="AH39" s="1">
        <v>251.72164000000004</v>
      </c>
      <c r="AI39" s="1">
        <v>1.6600000000000534</v>
      </c>
      <c r="AJ39" s="1">
        <v>6.9910600000002781</v>
      </c>
      <c r="AK39" s="1">
        <v>367.49</v>
      </c>
      <c r="AL39" s="1">
        <v>698.48812000000021</v>
      </c>
      <c r="AM39" s="1">
        <v>226.76999999999995</v>
      </c>
      <c r="AN39" s="1">
        <v>402.99312999999989</v>
      </c>
      <c r="AO39" s="1">
        <v>111.86999999999998</v>
      </c>
      <c r="AP39" s="1">
        <v>401.17968999999994</v>
      </c>
      <c r="AQ39" s="1">
        <v>1.8134399999999613</v>
      </c>
      <c r="AR39" s="1">
        <v>0.31999999999999318</v>
      </c>
      <c r="AS39" s="1">
        <f t="shared" si="0"/>
        <v>1.1799999999999997</v>
      </c>
    </row>
    <row r="40" spans="1:45" x14ac:dyDescent="0.3">
      <c r="A40" s="3" t="s">
        <v>134</v>
      </c>
      <c r="B40" s="3" t="s">
        <v>135</v>
      </c>
      <c r="C40" s="3" t="s">
        <v>136</v>
      </c>
      <c r="D40" s="1">
        <v>0</v>
      </c>
      <c r="E40" s="1">
        <v>1</v>
      </c>
      <c r="F40" s="1">
        <v>1</v>
      </c>
      <c r="G40" s="4">
        <v>0</v>
      </c>
      <c r="H40" s="4">
        <v>0</v>
      </c>
      <c r="I40" s="1">
        <v>8.1199999999999992</v>
      </c>
      <c r="J40" s="1">
        <v>9.24</v>
      </c>
      <c r="K40" s="4">
        <v>0</v>
      </c>
      <c r="L40" s="4">
        <v>0</v>
      </c>
      <c r="M40" s="4">
        <v>5</v>
      </c>
      <c r="N40" s="4">
        <v>3</v>
      </c>
      <c r="O40" s="1">
        <v>14.46</v>
      </c>
      <c r="P40" s="1">
        <v>15.15</v>
      </c>
      <c r="Q40" s="1">
        <v>15.84</v>
      </c>
      <c r="R40" s="1">
        <v>24.57</v>
      </c>
      <c r="S40" s="1">
        <v>-1</v>
      </c>
      <c r="T40" s="1">
        <v>-0.69</v>
      </c>
      <c r="U40" s="1">
        <v>3.69</v>
      </c>
      <c r="V40" s="1">
        <v>3.94</v>
      </c>
      <c r="W40" s="1">
        <v>1</v>
      </c>
      <c r="X40" s="1">
        <v>1</v>
      </c>
      <c r="Y40" s="1">
        <v>6</v>
      </c>
      <c r="Z40" s="1">
        <v>96</v>
      </c>
      <c r="AA40" s="1">
        <v>41</v>
      </c>
      <c r="AB40" s="1">
        <v>86</v>
      </c>
      <c r="AC40" s="1">
        <v>147.87999999999997</v>
      </c>
      <c r="AD40" s="1">
        <v>369.16843999999963</v>
      </c>
      <c r="AE40" s="1">
        <v>27.59000000000006</v>
      </c>
      <c r="AF40" s="1">
        <v>115.7176400000001</v>
      </c>
      <c r="AG40" s="1">
        <v>26.720000000000027</v>
      </c>
      <c r="AH40" s="1">
        <v>111.63740000000011</v>
      </c>
      <c r="AI40" s="1">
        <v>0.71999999999999886</v>
      </c>
      <c r="AJ40" s="1">
        <v>4.0802399999999936</v>
      </c>
      <c r="AK40" s="1">
        <v>382.05999999999995</v>
      </c>
      <c r="AL40" s="1">
        <v>638.34211999999991</v>
      </c>
      <c r="AM40" s="1">
        <v>299.94</v>
      </c>
      <c r="AN40" s="1">
        <v>103.76958999999999</v>
      </c>
      <c r="AO40" s="1">
        <v>24.409999999999997</v>
      </c>
      <c r="AP40" s="1">
        <v>97.767399999999995</v>
      </c>
      <c r="AQ40" s="1">
        <v>6.0021900000000041</v>
      </c>
      <c r="AR40" s="1">
        <v>1.5300000000000011</v>
      </c>
      <c r="AS40" s="1">
        <f t="shared" si="0"/>
        <v>1.120000000000001</v>
      </c>
    </row>
    <row r="41" spans="1:45" x14ac:dyDescent="0.3">
      <c r="A41" s="3" t="s">
        <v>137</v>
      </c>
      <c r="B41" s="3" t="s">
        <v>138</v>
      </c>
      <c r="C41" s="3" t="s">
        <v>139</v>
      </c>
      <c r="D41" s="1">
        <v>0</v>
      </c>
      <c r="E41" s="1">
        <v>0</v>
      </c>
      <c r="F41" s="1">
        <v>0</v>
      </c>
      <c r="G41" s="4">
        <v>0</v>
      </c>
      <c r="H41" s="4">
        <v>0</v>
      </c>
      <c r="I41" s="1">
        <v>7.22</v>
      </c>
      <c r="J41" s="1">
        <v>8.3800000000000008</v>
      </c>
      <c r="K41" s="4">
        <v>0</v>
      </c>
      <c r="L41" s="4">
        <v>2</v>
      </c>
      <c r="M41" s="4">
        <v>5</v>
      </c>
      <c r="N41" s="4">
        <v>5</v>
      </c>
      <c r="O41" s="1">
        <v>14.4</v>
      </c>
      <c r="P41" s="1">
        <v>14.89</v>
      </c>
      <c r="Q41" s="1">
        <v>17.55</v>
      </c>
      <c r="R41" s="1">
        <v>24.5</v>
      </c>
      <c r="S41" s="1">
        <v>-0.93</v>
      </c>
      <c r="T41" s="1">
        <v>-0.69</v>
      </c>
      <c r="U41" s="1">
        <v>4.17</v>
      </c>
      <c r="V41" s="1">
        <v>3.98</v>
      </c>
      <c r="W41" s="1">
        <v>1</v>
      </c>
      <c r="X41" s="1">
        <v>1</v>
      </c>
      <c r="Y41" s="1">
        <v>0</v>
      </c>
      <c r="Z41" s="1">
        <v>108</v>
      </c>
      <c r="AA41" s="1">
        <v>61</v>
      </c>
      <c r="AB41" s="1">
        <v>98</v>
      </c>
      <c r="AC41" s="1">
        <v>76.760000000000005</v>
      </c>
      <c r="AD41" s="1">
        <v>225.1844099999999</v>
      </c>
      <c r="AE41" s="1">
        <v>114.20426666666671</v>
      </c>
      <c r="AF41" s="1">
        <v>279.00210799999991</v>
      </c>
      <c r="AG41" s="1">
        <v>66.548400000000001</v>
      </c>
      <c r="AH41" s="1">
        <v>251.91318426666666</v>
      </c>
      <c r="AI41" s="1">
        <v>34.609999999999985</v>
      </c>
      <c r="AJ41" s="1">
        <v>175.64742999999993</v>
      </c>
      <c r="AK41" s="1">
        <v>230.75999999999993</v>
      </c>
      <c r="AL41" s="1">
        <v>441.99644999999975</v>
      </c>
      <c r="AM41" s="1">
        <v>131.73000000000002</v>
      </c>
      <c r="AN41" s="1">
        <v>221.22224999999997</v>
      </c>
      <c r="AO41" s="1">
        <v>30.629999999999995</v>
      </c>
      <c r="AP41" s="1">
        <v>110.59679000000004</v>
      </c>
      <c r="AQ41" s="1">
        <v>110.62545999999995</v>
      </c>
      <c r="AR41" s="1">
        <v>25.97999999999999</v>
      </c>
      <c r="AS41" s="1">
        <f t="shared" ref="AS41:AS45" si="1">J41-I41</f>
        <v>1.160000000000001</v>
      </c>
    </row>
    <row r="42" spans="1:45" x14ac:dyDescent="0.3">
      <c r="A42" s="3" t="s">
        <v>140</v>
      </c>
      <c r="B42" s="3" t="s">
        <v>141</v>
      </c>
      <c r="C42" s="3" t="s">
        <v>142</v>
      </c>
      <c r="D42" s="1">
        <v>0</v>
      </c>
      <c r="E42" s="1">
        <v>0</v>
      </c>
      <c r="F42" s="1">
        <v>0</v>
      </c>
      <c r="G42" s="4">
        <v>0</v>
      </c>
      <c r="H42" s="4">
        <v>0</v>
      </c>
      <c r="I42" s="1">
        <v>7.25</v>
      </c>
      <c r="J42" s="1">
        <v>8.39</v>
      </c>
      <c r="K42" s="4">
        <v>0</v>
      </c>
      <c r="L42" s="4">
        <v>0</v>
      </c>
      <c r="M42" s="4">
        <v>4</v>
      </c>
      <c r="N42" s="4">
        <v>3</v>
      </c>
      <c r="O42" s="1">
        <v>16.420000000000002</v>
      </c>
      <c r="P42" s="1">
        <v>16.86</v>
      </c>
      <c r="Q42" s="1">
        <v>70.040000000000006</v>
      </c>
      <c r="R42" s="1">
        <v>69.42</v>
      </c>
      <c r="S42" s="1">
        <v>0.53</v>
      </c>
      <c r="T42" s="1">
        <v>0.51</v>
      </c>
      <c r="U42" s="1">
        <v>4.4800000000000004</v>
      </c>
      <c r="V42" s="1">
        <v>4.51</v>
      </c>
      <c r="W42" s="1">
        <v>1</v>
      </c>
      <c r="X42" s="1">
        <v>1</v>
      </c>
      <c r="Y42" s="1">
        <v>24</v>
      </c>
      <c r="Z42" s="1">
        <v>99</v>
      </c>
      <c r="AA42" s="1">
        <v>36</v>
      </c>
      <c r="AB42" s="1">
        <v>85</v>
      </c>
      <c r="AC42" s="1">
        <v>281.57999999999993</v>
      </c>
      <c r="AD42" s="1">
        <v>534.97258999999985</v>
      </c>
      <c r="AE42" s="1">
        <v>104.26000000000002</v>
      </c>
      <c r="AF42" s="1">
        <v>225.38684000000009</v>
      </c>
      <c r="AG42" s="1">
        <v>50.880000000000024</v>
      </c>
      <c r="AH42" s="1">
        <v>225.38684000000009</v>
      </c>
      <c r="AI42" s="1">
        <v>0</v>
      </c>
      <c r="AJ42" s="1">
        <v>0</v>
      </c>
      <c r="AK42" s="1">
        <v>245.24</v>
      </c>
      <c r="AL42" s="1">
        <v>568.29571999999996</v>
      </c>
      <c r="AM42" s="1">
        <v>77.02000000000001</v>
      </c>
      <c r="AN42" s="1">
        <v>238.3814800000001</v>
      </c>
      <c r="AO42" s="1">
        <v>51.570000000000022</v>
      </c>
      <c r="AP42" s="1">
        <v>238.3814800000001</v>
      </c>
      <c r="AQ42" s="1">
        <v>0</v>
      </c>
      <c r="AR42" s="1">
        <v>0</v>
      </c>
      <c r="AS42" s="1">
        <f t="shared" si="1"/>
        <v>1.1400000000000006</v>
      </c>
    </row>
    <row r="43" spans="1:45" x14ac:dyDescent="0.3">
      <c r="A43" s="3" t="s">
        <v>143</v>
      </c>
      <c r="B43" s="3" t="s">
        <v>144</v>
      </c>
      <c r="C43" s="3" t="s">
        <v>145</v>
      </c>
      <c r="D43" s="1">
        <v>0</v>
      </c>
      <c r="E43" s="1">
        <v>0</v>
      </c>
      <c r="F43" s="1">
        <v>0</v>
      </c>
      <c r="G43" s="4">
        <v>0</v>
      </c>
      <c r="H43" s="4">
        <v>0</v>
      </c>
      <c r="I43" s="1">
        <v>8.66</v>
      </c>
      <c r="J43" s="1">
        <v>9.8800000000000008</v>
      </c>
      <c r="K43" s="4">
        <v>0</v>
      </c>
      <c r="L43" s="4">
        <v>0</v>
      </c>
      <c r="M43" s="4">
        <v>5</v>
      </c>
      <c r="N43" s="4">
        <v>4</v>
      </c>
      <c r="O43" s="1">
        <v>16.649999999999999</v>
      </c>
      <c r="P43" s="1">
        <v>17.829999999999998</v>
      </c>
      <c r="Q43" s="1">
        <v>63.48</v>
      </c>
      <c r="R43" s="1">
        <v>71.33</v>
      </c>
      <c r="S43" s="1">
        <v>0.34</v>
      </c>
      <c r="T43" s="1">
        <v>0.56000000000000005</v>
      </c>
      <c r="U43" s="1">
        <v>3.97</v>
      </c>
      <c r="V43" s="1">
        <v>3.85</v>
      </c>
      <c r="W43" s="1">
        <v>1</v>
      </c>
      <c r="X43" s="1">
        <v>2</v>
      </c>
      <c r="Y43" s="1">
        <v>5</v>
      </c>
      <c r="Z43" s="1">
        <v>108</v>
      </c>
      <c r="AA43" s="1">
        <v>70</v>
      </c>
      <c r="AB43" s="1">
        <v>111</v>
      </c>
      <c r="AC43" s="1">
        <v>599.54999999999995</v>
      </c>
      <c r="AD43" s="1">
        <v>1125.12447</v>
      </c>
      <c r="AE43" s="1">
        <v>229.21000000000009</v>
      </c>
      <c r="AF43" s="1">
        <v>437.08799000000027</v>
      </c>
      <c r="AG43" s="1">
        <v>113.79000000000005</v>
      </c>
      <c r="AH43" s="1">
        <v>394.8201200000002</v>
      </c>
      <c r="AI43" s="1">
        <v>8.8900000000000148</v>
      </c>
      <c r="AJ43" s="1">
        <v>42.267870000000087</v>
      </c>
      <c r="AK43" s="1">
        <v>525.49</v>
      </c>
      <c r="AL43" s="1">
        <v>917.40968000000021</v>
      </c>
      <c r="AM43" s="1">
        <v>207.76999999999995</v>
      </c>
      <c r="AN43" s="1">
        <v>396.99868999999973</v>
      </c>
      <c r="AO43" s="1">
        <v>110.47999999999993</v>
      </c>
      <c r="AP43" s="1">
        <v>390.3116299999997</v>
      </c>
      <c r="AQ43" s="1">
        <v>6.6870600000000389</v>
      </c>
      <c r="AR43" s="1">
        <v>1.1800000000000068</v>
      </c>
      <c r="AS43" s="1">
        <f t="shared" si="1"/>
        <v>1.2200000000000006</v>
      </c>
    </row>
    <row r="44" spans="1:45" x14ac:dyDescent="0.3">
      <c r="A44" s="3" t="s">
        <v>146</v>
      </c>
      <c r="B44" s="3" t="s">
        <v>147</v>
      </c>
      <c r="C44" s="3" t="s">
        <v>148</v>
      </c>
      <c r="D44" s="1">
        <v>0</v>
      </c>
      <c r="E44" s="1">
        <v>0</v>
      </c>
      <c r="F44" s="1">
        <v>0</v>
      </c>
      <c r="G44" s="4">
        <v>1</v>
      </c>
      <c r="H44" s="4">
        <v>0</v>
      </c>
      <c r="I44" s="1">
        <v>7.4</v>
      </c>
      <c r="J44" s="1">
        <v>8.6300000000000008</v>
      </c>
      <c r="K44" s="4">
        <v>0</v>
      </c>
      <c r="L44" s="4">
        <v>0</v>
      </c>
      <c r="M44" s="4">
        <v>0</v>
      </c>
      <c r="N44" s="4">
        <v>0</v>
      </c>
      <c r="O44" s="1">
        <v>14.35</v>
      </c>
      <c r="P44" s="1">
        <v>15.35</v>
      </c>
      <c r="Q44" s="1">
        <v>15.87</v>
      </c>
      <c r="R44" s="1">
        <v>34.229999999999997</v>
      </c>
      <c r="S44" s="1">
        <v>-1</v>
      </c>
      <c r="T44" s="1">
        <v>-0.41</v>
      </c>
      <c r="U44" s="1">
        <v>3.85</v>
      </c>
      <c r="V44" s="1">
        <v>4.18</v>
      </c>
      <c r="W44" s="1">
        <v>2</v>
      </c>
      <c r="X44" s="1">
        <v>1</v>
      </c>
      <c r="Y44" s="1">
        <v>87</v>
      </c>
      <c r="Z44" s="1">
        <v>106</v>
      </c>
      <c r="AA44" s="1">
        <v>88</v>
      </c>
      <c r="AB44" s="1">
        <v>96</v>
      </c>
      <c r="AC44" s="1">
        <v>468.02000000000004</v>
      </c>
      <c r="AD44" s="1">
        <v>567.57851000000016</v>
      </c>
      <c r="AE44" s="1">
        <v>54.699999999999989</v>
      </c>
      <c r="AF44" s="1">
        <v>122.97249999999993</v>
      </c>
      <c r="AG44" s="1">
        <v>42.079999999999984</v>
      </c>
      <c r="AH44" s="1">
        <v>122.97249999999993</v>
      </c>
      <c r="AI44" s="1">
        <v>0</v>
      </c>
      <c r="AJ44" s="1">
        <v>0</v>
      </c>
      <c r="AK44" s="1">
        <v>543.79999999999995</v>
      </c>
      <c r="AL44" s="1">
        <v>690.33840999999984</v>
      </c>
      <c r="AM44" s="1">
        <v>49.180000000000064</v>
      </c>
      <c r="AN44" s="1">
        <v>186.22442000000024</v>
      </c>
      <c r="AO44" s="1">
        <v>46.070000000000022</v>
      </c>
      <c r="AP44" s="1">
        <v>173.29141000000004</v>
      </c>
      <c r="AQ44" s="1">
        <v>12.933010000000193</v>
      </c>
      <c r="AR44" s="1">
        <v>3.1100000000000421</v>
      </c>
      <c r="AS44" s="1">
        <f t="shared" si="1"/>
        <v>1.2300000000000004</v>
      </c>
    </row>
    <row r="45" spans="1:45" x14ac:dyDescent="0.3">
      <c r="A45" s="3" t="s">
        <v>149</v>
      </c>
      <c r="B45" s="3" t="s">
        <v>150</v>
      </c>
      <c r="C45" s="3" t="s">
        <v>148</v>
      </c>
      <c r="D45" s="1">
        <v>0</v>
      </c>
      <c r="E45" s="1">
        <v>0</v>
      </c>
      <c r="F45" s="1">
        <v>0</v>
      </c>
      <c r="G45" s="4">
        <v>1</v>
      </c>
      <c r="H45" s="4">
        <v>1</v>
      </c>
      <c r="I45" s="1">
        <v>7.47</v>
      </c>
      <c r="J45" s="1">
        <v>8.59</v>
      </c>
      <c r="K45" s="4">
        <v>0</v>
      </c>
      <c r="L45" s="4">
        <v>0</v>
      </c>
      <c r="M45" s="4">
        <v>3</v>
      </c>
      <c r="N45" s="4">
        <v>3</v>
      </c>
      <c r="O45" s="1">
        <v>14.72</v>
      </c>
      <c r="P45" s="1">
        <v>14.73</v>
      </c>
      <c r="Q45" s="1">
        <v>28.46</v>
      </c>
      <c r="R45" s="1">
        <v>21.39</v>
      </c>
      <c r="S45" s="1">
        <v>-0.56999999999999995</v>
      </c>
      <c r="T45" s="1">
        <v>-0.79</v>
      </c>
      <c r="U45" s="1">
        <v>5.04</v>
      </c>
      <c r="V45" s="1">
        <v>4.72</v>
      </c>
      <c r="W45" s="1">
        <v>1</v>
      </c>
      <c r="X45" s="1">
        <v>1</v>
      </c>
      <c r="Y45" s="1">
        <v>95</v>
      </c>
      <c r="Z45" s="1">
        <v>92</v>
      </c>
      <c r="AA45" s="1">
        <v>8</v>
      </c>
      <c r="AB45" s="1">
        <v>91</v>
      </c>
      <c r="AC45" s="1">
        <v>211.52000000000007</v>
      </c>
      <c r="AD45" s="1">
        <v>391.81678000000011</v>
      </c>
      <c r="AE45" s="1">
        <v>69.679999999999978</v>
      </c>
      <c r="AF45" s="1">
        <v>187.20013</v>
      </c>
      <c r="AG45" s="1">
        <v>33.919999999999987</v>
      </c>
      <c r="AH45" s="1">
        <v>157.58147999999994</v>
      </c>
      <c r="AI45" s="1">
        <v>7.5500000000000114</v>
      </c>
      <c r="AJ45" s="1">
        <v>29.618650000000045</v>
      </c>
      <c r="AK45" s="1">
        <v>220.24</v>
      </c>
      <c r="AL45" s="1">
        <v>357.96148000000017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f t="shared" si="1"/>
        <v>1.1200000000000001</v>
      </c>
    </row>
    <row r="48" spans="1:45" ht="15.6" x14ac:dyDescent="0.3">
      <c r="L48" s="9"/>
    </row>
  </sheetData>
  <phoneticPr fontId="2" type="noConversion"/>
  <conditionalFormatting sqref="AB1:AB1048576">
    <cfRule type="cellIs" dxfId="0" priority="3" operator="lessThan">
      <formula>75</formula>
    </cfRule>
    <cfRule type="cellIs" dxfId="1" priority="1" operator="lessThan">
      <formula>75</formula>
    </cfRule>
  </conditionalFormatting>
  <conditionalFormatting sqref="Z1:Z1048576">
    <cfRule type="cellIs" dxfId="4" priority="2" operator="lessThan">
      <formula>75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1055-2501-4B6A-A709-51BB3C5AEEE3}">
  <dimension ref="A1:AS2"/>
  <sheetViews>
    <sheetView workbookViewId="0">
      <selection sqref="A1:XFD1"/>
    </sheetView>
  </sheetViews>
  <sheetFormatPr defaultRowHeight="14.4" x14ac:dyDescent="0.3"/>
  <sheetData>
    <row r="1" spans="1:45" s="5" customFormat="1" x14ac:dyDescent="0.3">
      <c r="A1" s="5">
        <v>20</v>
      </c>
      <c r="B1" s="6">
        <v>43273</v>
      </c>
      <c r="C1" s="6">
        <v>44155</v>
      </c>
      <c r="D1" s="5">
        <v>0</v>
      </c>
      <c r="E1" s="5">
        <v>0</v>
      </c>
      <c r="F1" s="5">
        <v>0</v>
      </c>
      <c r="G1" s="7">
        <v>1</v>
      </c>
      <c r="H1" s="7">
        <v>1</v>
      </c>
      <c r="I1" s="5">
        <v>7.34</v>
      </c>
      <c r="J1" s="5">
        <v>9.66</v>
      </c>
      <c r="K1" s="7">
        <v>0</v>
      </c>
      <c r="L1" s="7">
        <v>0</v>
      </c>
      <c r="M1" s="7">
        <v>3</v>
      </c>
      <c r="N1" s="7">
        <v>3</v>
      </c>
      <c r="O1" s="7">
        <v>14.78</v>
      </c>
      <c r="P1" s="7">
        <v>15.81</v>
      </c>
      <c r="Q1" s="7">
        <v>30.76</v>
      </c>
      <c r="R1" s="7">
        <v>34.24</v>
      </c>
      <c r="S1" s="7">
        <v>-0.5</v>
      </c>
      <c r="T1" s="7">
        <v>-0.41</v>
      </c>
      <c r="U1" s="7">
        <v>3.38</v>
      </c>
      <c r="V1" s="7">
        <v>6.06</v>
      </c>
      <c r="W1" s="5">
        <v>1</v>
      </c>
      <c r="X1" s="5">
        <v>2</v>
      </c>
      <c r="Y1" s="5">
        <v>30</v>
      </c>
      <c r="Z1" s="5">
        <v>29</v>
      </c>
      <c r="AA1" s="5">
        <v>54</v>
      </c>
      <c r="AB1" s="5">
        <v>134</v>
      </c>
      <c r="AC1" s="7">
        <v>123.77</v>
      </c>
      <c r="AD1" s="7">
        <v>386.85</v>
      </c>
      <c r="AE1" s="7">
        <v>52.8</v>
      </c>
      <c r="AF1" s="7">
        <v>226.29</v>
      </c>
      <c r="AG1" s="7">
        <v>43.25</v>
      </c>
      <c r="AH1" s="7">
        <v>188.74</v>
      </c>
      <c r="AI1" s="7">
        <v>9.5</v>
      </c>
      <c r="AJ1" s="7">
        <v>37.549999999999997</v>
      </c>
      <c r="AK1" s="7">
        <v>169.51</v>
      </c>
      <c r="AL1" s="7">
        <v>386.84</v>
      </c>
      <c r="AM1" s="7">
        <v>46.6</v>
      </c>
      <c r="AN1" s="7">
        <v>203.56</v>
      </c>
      <c r="AO1" s="7">
        <v>36.81</v>
      </c>
      <c r="AP1" s="7">
        <v>168.71</v>
      </c>
      <c r="AQ1" s="7">
        <v>34.85</v>
      </c>
      <c r="AR1" s="7">
        <v>8.67</v>
      </c>
      <c r="AS1" s="1">
        <f t="shared" ref="AS1" si="0">J1-I1</f>
        <v>2.3200000000000003</v>
      </c>
    </row>
    <row r="2" spans="1:45" s="5" customFormat="1" x14ac:dyDescent="0.3">
      <c r="B2" s="6"/>
      <c r="C2" s="6"/>
      <c r="G2" s="7"/>
      <c r="H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combined_EAH_redone_DB</vt:lpstr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Rajendra Bhat, Yashaswini</cp:lastModifiedBy>
  <dcterms:created xsi:type="dcterms:W3CDTF">2011-08-01T14:22:18Z</dcterms:created>
  <dcterms:modified xsi:type="dcterms:W3CDTF">2023-12-15T06:51:11Z</dcterms:modified>
</cp:coreProperties>
</file>